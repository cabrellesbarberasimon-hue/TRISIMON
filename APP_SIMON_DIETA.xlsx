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b98342132-my.sharepoint.com/personal/simon_bocubimobiliario_com/Documents/Escritorio/varios/"/>
    </mc:Choice>
  </mc:AlternateContent>
  <xr:revisionPtr revIDLastSave="0" documentId="8_{EF7FF30E-1793-4291-A179-1680F0069386}" xr6:coauthVersionLast="47" xr6:coauthVersionMax="47" xr10:uidLastSave="{00000000-0000-0000-0000-000000000000}"/>
  <bookViews>
    <workbookView xWindow="-108" yWindow="-108" windowWidth="23256" windowHeight="12456" xr2:uid="{101AE0DB-4807-4634-A72E-07E64702DAC6}"/>
  </bookViews>
  <sheets>
    <sheet name="Hoja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J46" i="1" l="1"/>
  <c r="AJ48" i="1" s="1"/>
  <c r="AJ49" i="1" s="1"/>
  <c r="AE46" i="1"/>
  <c r="AE48" i="1" s="1"/>
  <c r="AE49" i="1" s="1"/>
  <c r="Z46" i="1"/>
  <c r="U46" i="1"/>
  <c r="P46" i="1"/>
  <c r="K46" i="1"/>
  <c r="F46" i="1"/>
  <c r="AK43" i="1"/>
  <c r="AJ43" i="1"/>
  <c r="AI43" i="1"/>
  <c r="AH43" i="1"/>
  <c r="AF43" i="1"/>
  <c r="AE43" i="1"/>
  <c r="AD43" i="1"/>
  <c r="AC43" i="1"/>
  <c r="AA43" i="1"/>
  <c r="Z43" i="1"/>
  <c r="Y43" i="1"/>
  <c r="X43" i="1"/>
  <c r="V43" i="1"/>
  <c r="U43" i="1"/>
  <c r="T43" i="1"/>
  <c r="S43" i="1"/>
  <c r="Q43" i="1"/>
  <c r="P43" i="1"/>
  <c r="O43" i="1"/>
  <c r="N43" i="1"/>
  <c r="L43" i="1"/>
  <c r="K43" i="1"/>
  <c r="J43" i="1"/>
  <c r="I43" i="1"/>
  <c r="G43" i="1"/>
  <c r="F43" i="1"/>
  <c r="E43" i="1"/>
  <c r="D43" i="1"/>
  <c r="C37" i="1"/>
  <c r="C36" i="1"/>
  <c r="AG29" i="1"/>
  <c r="AB29" i="1"/>
  <c r="W29" i="1"/>
  <c r="R29" i="1"/>
  <c r="M29" i="1"/>
  <c r="H29" i="1"/>
  <c r="C29" i="1"/>
  <c r="AK23" i="1"/>
  <c r="AJ23" i="1"/>
  <c r="AI23" i="1"/>
  <c r="AH23" i="1"/>
  <c r="AG23" i="1"/>
  <c r="AF23" i="1"/>
  <c r="AE23" i="1"/>
  <c r="AD23" i="1"/>
  <c r="AC23" i="1"/>
  <c r="AB23" i="1"/>
  <c r="AA23" i="1"/>
  <c r="Z23" i="1"/>
  <c r="Y23" i="1"/>
  <c r="X23" i="1"/>
  <c r="W23" i="1"/>
  <c r="V23" i="1"/>
  <c r="U23" i="1"/>
  <c r="T23" i="1"/>
  <c r="S23" i="1"/>
  <c r="R23" i="1"/>
  <c r="Q23" i="1"/>
  <c r="P23" i="1"/>
  <c r="O23" i="1"/>
  <c r="N23" i="1"/>
  <c r="M23" i="1"/>
  <c r="L23" i="1"/>
  <c r="K23" i="1"/>
  <c r="J23" i="1"/>
  <c r="I23" i="1"/>
  <c r="H23" i="1"/>
  <c r="G23" i="1"/>
  <c r="F23" i="1"/>
  <c r="E23" i="1"/>
  <c r="D23" i="1"/>
  <c r="C23" i="1"/>
  <c r="AK20" i="1"/>
  <c r="AJ20" i="1"/>
  <c r="AI20" i="1"/>
  <c r="AH20" i="1"/>
  <c r="AF20" i="1"/>
  <c r="AE20" i="1"/>
  <c r="AD20" i="1"/>
  <c r="AC20" i="1"/>
  <c r="AA20" i="1"/>
  <c r="Z20" i="1"/>
  <c r="Y20" i="1"/>
  <c r="X20" i="1"/>
  <c r="V20" i="1"/>
  <c r="U20" i="1"/>
  <c r="T20" i="1"/>
  <c r="S20" i="1"/>
  <c r="Q20" i="1"/>
  <c r="P20" i="1"/>
  <c r="O20" i="1"/>
  <c r="N20" i="1"/>
  <c r="L20" i="1"/>
  <c r="K20" i="1"/>
  <c r="J20" i="1"/>
  <c r="I20" i="1"/>
  <c r="G20" i="1"/>
  <c r="F20" i="1"/>
  <c r="E20" i="1"/>
  <c r="D20" i="1"/>
  <c r="AK19" i="1"/>
  <c r="AJ19" i="1"/>
  <c r="AI19" i="1"/>
  <c r="AH19" i="1"/>
  <c r="AF19" i="1"/>
  <c r="AE19" i="1"/>
  <c r="AD19" i="1"/>
  <c r="AC19" i="1"/>
  <c r="AA19" i="1"/>
  <c r="Z19" i="1"/>
  <c r="Y19" i="1"/>
  <c r="X19" i="1"/>
  <c r="V19" i="1"/>
  <c r="U19" i="1"/>
  <c r="T19" i="1"/>
  <c r="S19" i="1"/>
  <c r="Q19" i="1"/>
  <c r="P19" i="1"/>
  <c r="O19" i="1"/>
  <c r="N19" i="1"/>
  <c r="L19" i="1"/>
  <c r="K19" i="1"/>
  <c r="J19" i="1"/>
  <c r="I19" i="1"/>
  <c r="G19" i="1"/>
  <c r="F19" i="1"/>
  <c r="E19" i="1"/>
  <c r="D19" i="1"/>
  <c r="AK18" i="1"/>
  <c r="AJ18" i="1"/>
  <c r="AI18" i="1"/>
  <c r="AH18" i="1"/>
  <c r="AF18" i="1"/>
  <c r="AE18" i="1"/>
  <c r="AD18" i="1"/>
  <c r="AC18" i="1"/>
  <c r="AA18" i="1"/>
  <c r="Z18" i="1"/>
  <c r="Y18" i="1"/>
  <c r="X18" i="1"/>
  <c r="V18" i="1"/>
  <c r="U18" i="1"/>
  <c r="T18" i="1"/>
  <c r="S18" i="1"/>
  <c r="Q18" i="1"/>
  <c r="P18" i="1"/>
  <c r="O18" i="1"/>
  <c r="N18" i="1"/>
  <c r="L18" i="1"/>
  <c r="K18" i="1"/>
  <c r="J18" i="1"/>
  <c r="I18" i="1"/>
  <c r="G18" i="1"/>
  <c r="F18" i="1"/>
  <c r="E18" i="1"/>
  <c r="D18" i="1"/>
  <c r="AK17" i="1"/>
  <c r="AJ17" i="1"/>
  <c r="AJ47" i="1" s="1"/>
  <c r="AI17" i="1"/>
  <c r="AH17" i="1"/>
  <c r="AF17" i="1"/>
  <c r="AE17" i="1"/>
  <c r="AE47" i="1" s="1"/>
  <c r="AD17" i="1"/>
  <c r="AC17" i="1"/>
  <c r="AA17" i="1"/>
  <c r="Z17" i="1"/>
  <c r="Y17" i="1"/>
  <c r="X17" i="1"/>
  <c r="V17" i="1"/>
  <c r="U17" i="1"/>
  <c r="U47" i="1" s="1"/>
  <c r="U48" i="1" s="1"/>
  <c r="U49" i="1" s="1"/>
  <c r="T17" i="1"/>
  <c r="S17" i="1"/>
  <c r="Q17" i="1"/>
  <c r="P17" i="1"/>
  <c r="P47" i="1" s="1"/>
  <c r="P48" i="1" s="1"/>
  <c r="P49" i="1" s="1"/>
  <c r="O17" i="1"/>
  <c r="N17" i="1"/>
  <c r="L17" i="1"/>
  <c r="K17" i="1"/>
  <c r="J17" i="1"/>
  <c r="I17" i="1"/>
  <c r="G17" i="1"/>
  <c r="F17" i="1"/>
  <c r="F47" i="1" s="1"/>
  <c r="E17" i="1"/>
  <c r="D17" i="1"/>
  <c r="D5" i="1"/>
  <c r="D4" i="1"/>
  <c r="N21" i="1" l="1"/>
  <c r="N22" i="1" s="1"/>
  <c r="M21" i="1"/>
  <c r="Q21" i="1"/>
  <c r="Q22" i="1" s="1"/>
  <c r="P21" i="1"/>
  <c r="P22" i="1" s="1"/>
  <c r="O21" i="1"/>
  <c r="T22" i="1"/>
  <c r="O22" i="1"/>
  <c r="AI21" i="1"/>
  <c r="AK21" i="1"/>
  <c r="AK22" i="1" s="1"/>
  <c r="AJ21" i="1"/>
  <c r="AJ22" i="1" s="1"/>
  <c r="AH21" i="1"/>
  <c r="AH22" i="1" s="1"/>
  <c r="AG21" i="1"/>
  <c r="V21" i="1"/>
  <c r="U21" i="1"/>
  <c r="U22" i="1" s="1"/>
  <c r="T21" i="1"/>
  <c r="S21" i="1"/>
  <c r="S22" i="1" s="1"/>
  <c r="R21" i="1"/>
  <c r="V22" i="1"/>
  <c r="AC22" i="1"/>
  <c r="F48" i="1"/>
  <c r="F49" i="1" s="1"/>
  <c r="AE22" i="1"/>
  <c r="AC21" i="1"/>
  <c r="AB21" i="1"/>
  <c r="AF21" i="1"/>
  <c r="AF22" i="1" s="1"/>
  <c r="AE21" i="1"/>
  <c r="AD21" i="1"/>
  <c r="AD22" i="1" s="1"/>
  <c r="AI22" i="1"/>
  <c r="Z48" i="1"/>
  <c r="Z49" i="1" s="1"/>
  <c r="K47" i="1"/>
  <c r="K48" i="1" s="1"/>
  <c r="K49" i="1" s="1"/>
  <c r="Z47" i="1"/>
  <c r="AF24" i="1" l="1"/>
  <c r="AF25" i="1"/>
  <c r="AG27" i="1"/>
  <c r="AG30" i="1" s="1"/>
  <c r="AH24" i="1"/>
  <c r="AH25" i="1"/>
  <c r="AG22" i="1"/>
  <c r="AJ24" i="1"/>
  <c r="AJ25" i="1"/>
  <c r="AK24" i="1"/>
  <c r="AK25" i="1"/>
  <c r="K21" i="1"/>
  <c r="K22" i="1" s="1"/>
  <c r="L21" i="1"/>
  <c r="L22" i="1" s="1"/>
  <c r="J21" i="1"/>
  <c r="J22" i="1" s="1"/>
  <c r="I21" i="1"/>
  <c r="I22" i="1" s="1"/>
  <c r="H21" i="1"/>
  <c r="S24" i="1"/>
  <c r="R27" i="1"/>
  <c r="R30" i="1" s="1"/>
  <c r="S25" i="1"/>
  <c r="R22" i="1"/>
  <c r="AD25" i="1"/>
  <c r="AD24" i="1"/>
  <c r="U24" i="1"/>
  <c r="U25" i="1"/>
  <c r="M22" i="1"/>
  <c r="N25" i="1"/>
  <c r="M27" i="1"/>
  <c r="M30" i="1" s="1"/>
  <c r="N24" i="1"/>
  <c r="AB27" i="1"/>
  <c r="AB30" i="1" s="1"/>
  <c r="AC25" i="1"/>
  <c r="AB22" i="1"/>
  <c r="AC24" i="1"/>
  <c r="T24" i="1"/>
  <c r="T25" i="1"/>
  <c r="Z21" i="1"/>
  <c r="Z22" i="1" s="1"/>
  <c r="W21" i="1"/>
  <c r="Y21" i="1"/>
  <c r="Y22" i="1" s="1"/>
  <c r="X21" i="1"/>
  <c r="X22" i="1" s="1"/>
  <c r="AA21" i="1"/>
  <c r="AA22" i="1" s="1"/>
  <c r="AE25" i="1"/>
  <c r="AE24" i="1"/>
  <c r="AI24" i="1"/>
  <c r="AI25" i="1"/>
  <c r="V25" i="1"/>
  <c r="V24" i="1"/>
  <c r="O25" i="1"/>
  <c r="O24" i="1"/>
  <c r="P25" i="1"/>
  <c r="P24" i="1"/>
  <c r="Q24" i="1"/>
  <c r="Q25" i="1"/>
  <c r="E21" i="1"/>
  <c r="E22" i="1" s="1"/>
  <c r="C21" i="1"/>
  <c r="D21" i="1"/>
  <c r="D22" i="1" s="1"/>
  <c r="G21" i="1"/>
  <c r="G22" i="1" s="1"/>
  <c r="F21" i="1"/>
  <c r="F22" i="1" s="1"/>
  <c r="Y25" i="1" l="1"/>
  <c r="Y24" i="1"/>
  <c r="K25" i="1"/>
  <c r="K24" i="1"/>
  <c r="Z25" i="1"/>
  <c r="Z24" i="1"/>
  <c r="C22" i="1"/>
  <c r="R8" i="1"/>
  <c r="D24" i="1"/>
  <c r="C27" i="1"/>
  <c r="C30" i="1" s="1"/>
  <c r="D25" i="1"/>
  <c r="G24" i="1"/>
  <c r="R11" i="1"/>
  <c r="G25" i="1"/>
  <c r="W27" i="1"/>
  <c r="W30" i="1" s="1"/>
  <c r="W22" i="1"/>
  <c r="X24" i="1"/>
  <c r="X25" i="1"/>
  <c r="L25" i="1"/>
  <c r="L24" i="1"/>
  <c r="F24" i="1"/>
  <c r="R10" i="1"/>
  <c r="F25" i="1"/>
  <c r="E24" i="1"/>
  <c r="E25" i="1"/>
  <c r="R9" i="1"/>
  <c r="AA25" i="1"/>
  <c r="AA24" i="1"/>
  <c r="I24" i="1"/>
  <c r="H22" i="1"/>
  <c r="H27" i="1"/>
  <c r="H30" i="1" s="1"/>
  <c r="I25" i="1"/>
  <c r="J24" i="1"/>
  <c r="J25" i="1"/>
  <c r="R13" i="1" l="1"/>
  <c r="R1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Simo</author>
  </authors>
  <commentList>
    <comment ref="C4" authorId="0" shapeId="0" xr:uid="{8210D482-6337-4A58-AC1F-F13C6C3A0ABE}">
      <text>
        <r>
          <rPr>
            <b/>
            <sz val="9"/>
            <color indexed="81"/>
            <rFont val="Tahoma"/>
            <charset val="1"/>
          </rPr>
          <t>Simo:</t>
        </r>
        <r>
          <rPr>
            <sz val="9"/>
            <color indexed="81"/>
            <rFont val="Tahoma"/>
            <charset val="1"/>
          </rPr>
          <t xml:space="preserve">
Source: informe de composición corporal (báscula) subido por el usuario, 24/09/2026. Peso 71,8 kg.</t>
        </r>
      </text>
    </comment>
    <comment ref="C5" authorId="0" shapeId="0" xr:uid="{0140C651-71E4-47AA-83C0-E4B186B941C9}">
      <text>
        <r>
          <rPr>
            <b/>
            <sz val="9"/>
            <color indexed="81"/>
            <rFont val="Tahoma"/>
            <charset val="1"/>
          </rPr>
          <t>Simo:</t>
        </r>
        <r>
          <rPr>
            <sz val="9"/>
            <color indexed="81"/>
            <rFont val="Tahoma"/>
            <charset val="1"/>
          </rPr>
          <t xml:space="preserve">
Source: informe de composición corporal (báscula) subido por el usuario, 24/09/2026. Grasa corporal 17,2 % (masa grasa 12,3 kg, peso sin grasa 59,3 kg, grasa visceral 4).</t>
        </r>
      </text>
    </comment>
    <comment ref="C18" authorId="0" shapeId="0" xr:uid="{AD97FFDA-FD67-40C2-A41C-69795DAA2753}">
      <text>
        <r>
          <rPr>
            <b/>
            <sz val="9"/>
            <color indexed="81"/>
            <rFont val="Tahoma"/>
            <charset val="1"/>
          </rPr>
          <t>Simo:</t>
        </r>
        <r>
          <rPr>
            <sz val="9"/>
            <color indexed="81"/>
            <rFont val="Tahoma"/>
            <charset val="1"/>
          </rPr>
          <t xml:space="preserve">
Source: foto de la etiqueta de Pechuga de Pavo 92% Hacendado (200 g), subida por el usuario el 24/09/2026. Valores aprox. por 100 g: 89 kcal · P 18,5 g · HC 1 g · G 1,5 g. Revisar con la etiqueta física.</t>
        </r>
      </text>
    </comment>
    <comment ref="C38" authorId="0" shapeId="0" xr:uid="{8E4DC603-E072-4C1E-9CD3-726612004E7E}">
      <text>
        <r>
          <rPr>
            <b/>
            <sz val="9"/>
            <color indexed="81"/>
            <rFont val="Tahoma"/>
            <charset val="1"/>
          </rPr>
          <t>Simo:</t>
        </r>
        <r>
          <rPr>
            <sz val="9"/>
            <color indexed="81"/>
            <rFont val="Tahoma"/>
            <charset val="1"/>
          </rPr>
          <t xml:space="preserve">
Source: informe de composición corporal (báscula) subido por el usuario, 24/09/2026. Tasa metabólica basal 1653 kcal. Antes se enlazaba a simon!L3 (1728 kcal).</t>
        </r>
      </text>
    </comment>
    <comment ref="B44" authorId="0" shapeId="0" xr:uid="{5D8A6679-56E2-4325-866E-888E59296954}">
      <text>
        <r>
          <rPr>
            <b/>
            <sz val="9"/>
            <color indexed="81"/>
            <rFont val="Tahoma"/>
            <charset val="1"/>
          </rPr>
          <t>Claras de huevo Mercadona: valores de la etiqueta (ver tabla B61:F70). Proteínas por 100 g (crudo, aprox.): pechuga 110/23/0/1,5 · ternera 5% 125/21/0/5 · salmón 200/20/0/13 · pescado blanco 80/17/0/1,5.</t>
        </r>
      </text>
    </comment>
    <comment ref="B58" authorId="0" shapeId="0" xr:uid="{383D3EF1-19C6-4B2F-837A-EAD6D7356505}">
      <text>
        <r>
          <rPr>
            <b/>
            <sz val="9"/>
            <color indexed="81"/>
            <rFont val="Tahoma"/>
            <charset val="1"/>
          </rPr>
          <t>Source: fotos de etiquetas subidas por el usuario el 24/09/2026 (claras Mercadona, lomo embuchado Costa Brava, macarrones integrales, arroz redondo, arroz microondas, tomate triturado, atún claro al natural, pan integral Consum, queso Entrepinares, leche semidesnatada Central Lechera Asturiana, pavo 92% Hacendado). Filas 'genérico' = valores estándar aproximados, no de etiqueta. Patata/batata/boniato (no envasados): valores genéricos en B56:F59.</t>
        </r>
      </text>
    </comment>
  </commentList>
</comments>
</file>

<file path=xl/sharedStrings.xml><?xml version="1.0" encoding="utf-8"?>
<sst xmlns="http://schemas.openxmlformats.org/spreadsheetml/2006/main" count="235" uniqueCount="127">
  <si>
    <t>PLAN NUTRICIONAL SEMANAL</t>
  </si>
  <si>
    <t>Simon Cabrelles Barberá · Preparación Triatlón Olímpico Valencia 2027</t>
  </si>
  <si>
    <t>PESO MEDIO ACTUAL (kg):</t>
  </si>
  <si>
    <t>ALTURA (cm):</t>
  </si>
  <si>
    <t>GRASA CORPORAL (%):</t>
  </si>
  <si>
    <t>MASA MUSCULAR (kg):</t>
  </si>
  <si>
    <t>OBJETIVOS NUTRICIONALES POR TIPO DE DÍA  (rangos iniciales editables — no valores médicos)</t>
  </si>
  <si>
    <t>TIPO DE DÍA</t>
  </si>
  <si>
    <t>KCAL mín</t>
  </si>
  <si>
    <t>KCAL máx</t>
  </si>
  <si>
    <t>P mín</t>
  </si>
  <si>
    <t>P máx</t>
  </si>
  <si>
    <t>C mín</t>
  </si>
  <si>
    <t>C máx</t>
  </si>
  <si>
    <t>G mín</t>
  </si>
  <si>
    <t>G máx</t>
  </si>
  <si>
    <t>RESUMEN SEMANAL (media diaria)</t>
  </si>
  <si>
    <t>DESCANSO / MUY SUAVE</t>
  </si>
  <si>
    <t>KCAL media/día</t>
  </si>
  <si>
    <t>ENTRENAMIENTO NORMAL</t>
  </si>
  <si>
    <t>Proteína media (g)</t>
  </si>
  <si>
    <t>DOBLE SESIÓN</t>
  </si>
  <si>
    <t>Carbohidratos media (g)</t>
  </si>
  <si>
    <t>GRAN CARGA / BICI LARGA</t>
  </si>
  <si>
    <t>Grasas media (g)</t>
  </si>
  <si>
    <t>Proteína g/kg de peso</t>
  </si>
  <si>
    <t>Proteína g/kg masa libre grasa</t>
  </si>
  <si>
    <t>DÍA</t>
  </si>
  <si>
    <t>LUNES 31/08</t>
  </si>
  <si>
    <t>MARTES 01/09</t>
  </si>
  <si>
    <t>MIÉRCOLES 02/09</t>
  </si>
  <si>
    <t>JUEVES 03/09</t>
  </si>
  <si>
    <t>VIERNES 04/09</t>
  </si>
  <si>
    <t>SÁBADO 05/09</t>
  </si>
  <si>
    <t>DOMINGO 06/09</t>
  </si>
  <si>
    <t>COMIDA</t>
  </si>
  <si>
    <t>MENÚ / ALIMENTOS</t>
  </si>
  <si>
    <t>kcal</t>
  </si>
  <si>
    <t>P</t>
  </si>
  <si>
    <t>C</t>
  </si>
  <si>
    <t>G</t>
  </si>
  <si>
    <t>DESAYUNO</t>
  </si>
  <si>
    <t>· Café con leche semidesnatada (200 ml)
· 10 g miel</t>
  </si>
  <si>
    <t>PRE-BICI LARGA (2 h antes — día de 3 h de bici, no basta con café)
· Café con leche semidesnatada (200 ml)
· 75 g pan integral Consum tostado (≈¾ pieza)
· 1 plátano (120 g)
· 15 g miel</t>
  </si>
  <si>
    <t>PRE-CARRERA LARGA (75-90 min antes)
· Café con leche semidesnatada (200 ml)
· 15 g miel
· 40 g pan integral</t>
  </si>
  <si>
    <t>MEDIA MAÑANA</t>
  </si>
  <si>
    <t>BOCADILLO (pieza entera)
· 1 pan integral 100% Consum (95 g)
· 75 g pechuga de pavo 92% Hacendado (3 lonchas)
· 15 g lomo embuchado (2 lonchas)
· Tomate natural (≈50 g en rodajas)
· 20 g AOVE
· 1 plátano (120 g)</t>
  </si>
  <si>
    <t>BOCADILLO (pieza entera)
· 1 pan integral 100% Consum (95 g)
· 75 g pechuga de pavo 92% Hacendado (3 lonchas)
· 15 g lomo embuchado (2 lonchas)
· 30 g queso semicurado (2-3 lonchas)
· Tomate natural (≈50 g en rodajas)
· 15 g AOVE
· 1 plátano (120 g)</t>
  </si>
  <si>
    <t>BOCADILLO POST-BICI (pieza entera)
· 1 pan integral 100% Consum (95 g)
· 120 g atún al natural (2 latas de 60 g escurridas)
· Tomate natural (≈50 g en rodajas)
· 15 g AOVE</t>
  </si>
  <si>
    <t>BOCADILLO POST-CARRERA (pieza entera)
· 1 pan integral 100% Consum (95 g)
· 120 g atún al natural (2 latas de 60 g escurridas)
· Tomate natural (≈50 g en rodajas)
· 20 g AOVE
· 1 naranja (200 g)</t>
  </si>
  <si>
    <t>ARROZ CON POLLO
· 120 g arroz redondo (en crudo) ≈ 2 bolsitas de arroz microondas
· 140 g pechuga de pollo
· 200 g tomate natural triturado (½ bote)
· 12 g AOVE</t>
  </si>
  <si>
    <t>MACARRONES INTEGRALES CON ATÚN
· 110 g macarrones integrales (en crudo)
· 120 g atún al natural (2 latas escurridas)
· 200 g tomate natural triturado (½ bote)
· 8 g AOVE</t>
  </si>
  <si>
    <t>MACARRONES INTEGRALES CON ATÚN
· 110 g macarrones integrales (en crudo)
· 120 g atún al natural (2 latas escurridas)
· 200 g tomate natural triturado (½ bote)
· 10 g AOVE</t>
  </si>
  <si>
    <t>ARROZ CON POLLO
· 80 g arroz redondo (en crudo) ≈ 1¼ bolsitas de arroz microondas
· 180 g pechuga de pollo
· 200 g tomate natural triturado (½ bote)
· 18 g AOVE</t>
  </si>
  <si>
    <t>POST-BRICK (comida principal)
· 60 g arroz redondo (en crudo) ≈ 1 bolsita de arroz microondas
· 110 g pechuga de pollo
· 200 g tomate natural triturado (½ bote)
· 12 g AOVE</t>
  </si>
  <si>
    <t>· 75 g macarrones integrales (en crudo)
· 115 g pechuga de pavo
· 200 g tomate natural triturado (½ bote)
· 10 g AOVE</t>
  </si>
  <si>
    <t>MERIENDA / PREENTRENO</t>
  </si>
  <si>
    <t>PRE-GYM (60-75 min antes)
· 1 plátano (120 g)</t>
  </si>
  <si>
    <t>PRE-BICI (60 min antes)
· 1 plátano (120 g)</t>
  </si>
  <si>
    <t>PRE-GYM (60 min antes)
· 1 plátano (120 g)</t>
  </si>
  <si>
    <t>PRE-CARRERA CALIDAD (75-90 min antes)
· 1 plátano (120 g)</t>
  </si>
  <si>
    <t>MERIENDA
· 1 plátano (120 g)</t>
  </si>
  <si>
    <t>PRE-BICI RECUPERACIÓN (si se realiza)
· 1 plátano (120 g)</t>
  </si>
  <si>
    <t>CENA</t>
  </si>
  <si>
    <t>TOTAL DIARIO (INGESTA)</t>
  </si>
  <si>
    <t>OBJETIVO</t>
  </si>
  <si>
    <t>DIFERENCIA</t>
  </si>
  <si>
    <t>Diferencia vs punto medio del rango</t>
  </si>
  <si>
    <t>SEMÁFORO</t>
  </si>
  <si>
    <t>OK dentro de rango · LEVE desviación leve · ALTA revisar</t>
  </si>
  <si>
    <t>INGESTA ESTIMADA (kcal)</t>
  </si>
  <si>
    <t>KCAL ENTRENAMIENTO GARMIN</t>
  </si>
  <si>
    <t>KCAL MÍNIMAS EN REPOSO (BMR)</t>
  </si>
  <si>
    <t>DIFERENCIA: INGESTA − (REPOSO + ENTRENO)</t>
  </si>
  <si>
    <t>METODOLOGÍA — IMPORTANTE</t>
  </si>
  <si>
    <t>El BALANCE (ingesta − reposo − entreno) del bloque superior es solo orientativo: no incluye la actividad diaria fuera del entreno (pasos, trabajo, digestión ≈ +20-30 % sobre el BMR) y las kcal de Garmin son estimaciones.
La suficiencia energética se valora por: objetivos por tipo de día + evolución del peso medio semanal + composición corporal + rendimiento + hambre + sueño + recuperación Garmin + carga deportiva.
Los carbohidratos consumidos DURANTE el entrenamiento se registran una única vez, en la fila "NUTRICIÓN DURANTE ENTRENAMIENTO", y ya están incluidos en el TOTAL DIARIO (no se suman dos veces).
ALCOHOL: no forma parte de la dieta semanal estándar. Objetivo global: máx. 5 días con alcohol hasta el Triatlón Olímpico Valencia 2027; en esos días máx. 2 bebidas (solo cerveza o vino, ningún destilado).
Todos los rangos, cantidades y objetivos son editables (azul = valor de entrada).</t>
  </si>
  <si>
    <t>CONEXIONES CON EL RESTO DEL EXCEL</t>
  </si>
  <si>
    <t>Objetivos macro (hoja simon):</t>
  </si>
  <si>
    <t>KCAL recomendadas (hoja simon):</t>
  </si>
  <si>
    <t>BMR (báscula 24/09/2026):</t>
  </si>
  <si>
    <t>Nota: los valores en verde provienen de la hoja 'simon' (referencias antiguas, pendientes de actualizar). Cuando exista la hoja PLAN ENTRENAMIENTO en PREPARACION FISICA SIMON.xlsx, la fila ENTRENAMIENTO OBJETIVO podrá enlazarse a ella y este bloque apuntará a OBJETIVOS NUTRICIONALES.</t>
  </si>
  <si>
    <t>CÁLCULO AUTOMÁTICO DE CARBOHIDRATOS EN LA CENA (celdas azules editables)</t>
  </si>
  <si>
    <t>CONCEPTO</t>
  </si>
  <si>
    <t>Detalle</t>
  </si>
  <si>
    <t>Fuente de carbohidrato (por 100 g)</t>
  </si>
  <si>
    <t>patata hervida</t>
  </si>
  <si>
    <t>batata hervida</t>
  </si>
  <si>
    <t>boniato asado</t>
  </si>
  <si>
    <t>patata cocida</t>
  </si>
  <si>
    <t>Plato + proteína (incl. claras)</t>
  </si>
  <si>
    <t>PECHUGA CON PATATA
· 130 g pechuga de pollo a la plancha
· 150 g claras de huevo pasteurizadas Mercadona (½ botella)</t>
  </si>
  <si>
    <t>CARNE ROJA
· 160 g ternera magra 5% a la plancha
· 150 g claras de huevo pasteurizadas Mercadona (½ botella)</t>
  </si>
  <si>
    <t>PECHUGA CON BATATA
· 130 g pechuga de pollo a la plancha
· 150 g claras de huevo pasteurizadas Mercadona (½ botella)</t>
  </si>
  <si>
    <t>PESCADO
· 160 g salmón a la plancha
· 150 g claras de huevo pasteurizadas Mercadona (½ botella)</t>
  </si>
  <si>
    <t>PECHUGA CON PATATA
· 90 g pechuga de pollo a la plancha
· 150 g claras de huevo pasteurizadas Mercadona (½ botella)</t>
  </si>
  <si>
    <t>· 90 g ternera magra 5%
· 150 g claras de huevo pasteurizadas Mercadona (½ botella)</t>
  </si>
  <si>
    <t>· 140 g pescado blanco al horno
· 150 g claras de huevo pasteurizadas Mercadona (½ botella)</t>
  </si>
  <si>
    <t>Parte fija (proteína + verdura + aceite)</t>
  </si>
  <si>
    <t>· 200 g verdura salteada
· 12 g AOVE</t>
  </si>
  <si>
    <t>· 200 g verdura salteada
· 8 g AOVE</t>
  </si>
  <si>
    <t>· 200 g verdura salteada
· Sin AOVE (el salmón ya aporta la grasa)</t>
  </si>
  <si>
    <t>· Verdura libre
· 12 g AOVE</t>
  </si>
  <si>
    <t>Objetivo C del día (MÍNIMO del rango)</t>
  </si>
  <si>
    <t>C del resto del día (desayuno → merienda)</t>
  </si>
  <si>
    <t>C a cubrir en la cena</t>
  </si>
  <si>
    <t>Gramos de fuente de carbohidrato</t>
  </si>
  <si>
    <t>ALIMENTO (por 100 g)</t>
  </si>
  <si>
    <t>claras huevo Mercadona (100 ml)</t>
  </si>
  <si>
    <t>lomo embuchado Costa Brava</t>
  </si>
  <si>
    <t>macarrones integrales Hacendado (crudo)</t>
  </si>
  <si>
    <t>arroz redondo Hacendado (crudo)</t>
  </si>
  <si>
    <t>arroz microondas Hacendado (cocido, bolsita 167 g)</t>
  </si>
  <si>
    <t>tomate triturado Hacendado</t>
  </si>
  <si>
    <t>atún claro al natural (escurrido, lata 60 g)</t>
  </si>
  <si>
    <t>pechuga de pollo (genérico)</t>
  </si>
  <si>
    <t>AOVE (genérico)</t>
  </si>
  <si>
    <t>pechuga de pavo fresca (genérico)</t>
  </si>
  <si>
    <t>pan integral 100% Consum (pieza 95 g)</t>
  </si>
  <si>
    <t>queso mezcla madurado Entrepinares</t>
  </si>
  <si>
    <t>leche semidesnatada Central Lechera Asturiana (100 ml)</t>
  </si>
  <si>
    <t>pechuga de pavo 92% Hacendado</t>
  </si>
  <si>
    <t>plátano (genérico, sin piel)</t>
  </si>
  <si>
    <t>nueces (NO TOMAR – no se usa)</t>
  </si>
  <si>
    <t>miel (genérico)</t>
  </si>
  <si>
    <t>copos de avena (NO TOMAR – no se usa)</t>
  </si>
  <si>
    <t>naranja (genérico, sin piel)</t>
  </si>
  <si>
    <t>tomate natural en rodajas (genérico)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</si>
</sst>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
    <numFmt numFmtId="167" formatCode="\+0;\-0;0"/>
    <numFmt numFmtId="168" formatCode="#,##0\ &quot;kcal&quot;"/>
    <numFmt numFmtId="169" formatCode="\+#,##0\ &quot;kcal&quot;;\-#,##0\ &quot;kcal&quot;;0\ &quot;kcal&quot;"/>
  </numFmts>
  <fonts count="25" x14ac:knownFonts="1">
    <font>
      <sz val="11"/>
      <color theme="1"/>
      <name val="Aptos Narrow"/>
      <family val="2"/>
      <scheme val="minor"/>
    </font>
    <font>
      <b/>
      <sz val="11"/>
      <color theme="1"/>
      <name val="Aptos Narrow"/>
      <family val="2"/>
      <scheme val="minor"/>
    </font>
    <font>
      <b/>
      <sz val="20"/>
      <color theme="1"/>
      <name val="Aptos Narrow"/>
      <scheme val="minor"/>
    </font>
    <font>
      <b/>
      <sz val="12"/>
      <color theme="1"/>
      <name val="Aptos Narrow"/>
      <scheme val="minor"/>
    </font>
    <font>
      <sz val="11"/>
      <color rgb="FF0000FF"/>
      <name val="Aptos Narrow"/>
      <scheme val="minor"/>
    </font>
    <font>
      <sz val="11"/>
      <color rgb="FF0000FF"/>
      <name val="Aptos Narrow"/>
      <family val="2"/>
      <scheme val="minor"/>
    </font>
    <font>
      <b/>
      <sz val="10"/>
      <color theme="1"/>
      <name val="Aptos Narrow"/>
      <family val="2"/>
      <scheme val="minor"/>
    </font>
    <font>
      <sz val="10"/>
      <color theme="1"/>
      <name val="Aptos Narrow"/>
      <family val="2"/>
      <scheme val="minor"/>
    </font>
    <font>
      <sz val="10"/>
      <color rgb="FF0000FF"/>
      <name val="Aptos Narrow"/>
      <family val="2"/>
      <scheme val="minor"/>
    </font>
    <font>
      <b/>
      <sz val="11"/>
      <color theme="1"/>
      <name val="Aptos Narrow"/>
      <scheme val="minor"/>
    </font>
    <font>
      <b/>
      <sz val="11"/>
      <color rgb="FF0000FF"/>
      <name val="Aptos Narrow"/>
      <family val="2"/>
      <scheme val="minor"/>
    </font>
    <font>
      <b/>
      <sz val="9"/>
      <color theme="1"/>
      <name val="Aptos Narrow"/>
      <scheme val="minor"/>
    </font>
    <font>
      <sz val="9"/>
      <color theme="1"/>
      <name val="Aptos Narrow"/>
      <family val="2"/>
      <scheme val="minor"/>
    </font>
    <font>
      <b/>
      <sz val="9"/>
      <color theme="1"/>
      <name val="Aptos Narrow"/>
      <family val="2"/>
      <scheme val="minor"/>
    </font>
    <font>
      <sz val="8"/>
      <color rgb="FF595959"/>
      <name val="Aptos Narrow"/>
      <family val="2"/>
      <scheme val="minor"/>
    </font>
    <font>
      <sz val="9"/>
      <color rgb="FF7F7F7F"/>
      <name val="Aptos Narrow"/>
      <family val="2"/>
      <scheme val="minor"/>
    </font>
    <font>
      <i/>
      <sz val="8"/>
      <color theme="1"/>
      <name val="Aptos Narrow"/>
      <family val="2"/>
      <scheme val="minor"/>
    </font>
    <font>
      <b/>
      <sz val="8"/>
      <color theme="1"/>
      <name val="Aptos Narrow"/>
      <family val="2"/>
      <scheme val="minor"/>
    </font>
    <font>
      <b/>
      <sz val="10"/>
      <color rgb="FF008000"/>
      <name val="Aptos Narrow"/>
      <family val="2"/>
      <scheme val="minor"/>
    </font>
    <font>
      <b/>
      <sz val="10"/>
      <color rgb="FF000000"/>
      <name val="Aptos Narrow"/>
      <family val="2"/>
      <scheme val="minor"/>
    </font>
    <font>
      <b/>
      <sz val="12"/>
      <color theme="1"/>
      <name val="Aptos Narrow"/>
      <family val="2"/>
      <scheme val="minor"/>
    </font>
    <font>
      <sz val="10"/>
      <color rgb="FF008000"/>
      <name val="Aptos Narrow"/>
      <family val="2"/>
      <scheme val="minor"/>
    </font>
    <font>
      <i/>
      <sz val="9"/>
      <color theme="1"/>
      <name val="Aptos Narrow"/>
      <family val="2"/>
      <scheme val="minor"/>
    </font>
    <font>
      <b/>
      <sz val="9"/>
      <color indexed="81"/>
      <name val="Tahoma"/>
      <charset val="1"/>
    </font>
    <font>
      <sz val="9"/>
      <color indexed="81"/>
      <name val="Tahoma"/>
      <charset val="1"/>
    </font>
  </fonts>
  <fills count="14">
    <fill>
      <patternFill patternType="none"/>
    </fill>
    <fill>
      <patternFill patternType="gray125"/>
    </fill>
    <fill>
      <patternFill patternType="solid">
        <fgColor rgb="FFBFBFBF"/>
        <bgColor indexed="64"/>
      </patternFill>
    </fill>
    <fill>
      <patternFill patternType="solid">
        <fgColor rgb="FFD9E1F2"/>
        <bgColor indexed="64"/>
      </patternFill>
    </fill>
    <fill>
      <patternFill patternType="solid">
        <fgColor rgb="FFFFFF00"/>
        <bgColor indexed="64"/>
      </patternFill>
    </fill>
    <fill>
      <patternFill patternType="solid">
        <fgColor rgb="FFD9D9D9"/>
        <bgColor indexed="64"/>
      </patternFill>
    </fill>
    <fill>
      <patternFill patternType="solid">
        <fgColor rgb="FFCAEDFB"/>
        <bgColor indexed="64"/>
      </patternFill>
    </fill>
    <fill>
      <patternFill patternType="solid">
        <fgColor rgb="FFFFF2CC"/>
        <bgColor indexed="64"/>
      </patternFill>
    </fill>
    <fill>
      <patternFill patternType="solid">
        <fgColor rgb="FFF2F2F2"/>
        <bgColor indexed="64"/>
      </patternFill>
    </fill>
    <fill>
      <patternFill patternType="solid">
        <fgColor rgb="FFFCE4D6"/>
        <bgColor indexed="64"/>
      </patternFill>
    </fill>
    <fill>
      <patternFill patternType="solid">
        <fgColor rgb="FFDAF2D0"/>
        <bgColor indexed="64"/>
      </patternFill>
    </fill>
    <fill>
      <patternFill patternType="solid">
        <fgColor rgb="FFF7C7AC"/>
        <bgColor indexed="64"/>
      </patternFill>
    </fill>
    <fill>
      <patternFill patternType="solid">
        <fgColor rgb="FFFFFFFF"/>
        <bgColor indexed="64"/>
      </patternFill>
    </fill>
    <fill>
      <patternFill patternType="solid">
        <fgColor rgb="FFFFFFCC"/>
        <bgColor indexed="64"/>
      </patternFill>
    </fill>
  </fills>
  <borders count="39">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medium">
        <color auto="1"/>
      </right>
      <top style="medium">
        <color indexed="64"/>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thick">
        <color auto="1"/>
      </right>
      <top style="medium">
        <color auto="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auto="1"/>
      </top>
      <bottom style="medium">
        <color indexed="64"/>
      </bottom>
      <diagonal/>
    </border>
    <border>
      <left/>
      <right style="medium">
        <color indexed="64"/>
      </right>
      <top style="medium">
        <color auto="1"/>
      </top>
      <bottom style="medium">
        <color indexed="64"/>
      </bottom>
      <diagonal/>
    </border>
    <border>
      <left style="medium">
        <color auto="1"/>
      </left>
      <right style="medium">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ck">
        <color auto="1"/>
      </right>
      <top/>
      <bottom style="thin">
        <color auto="1"/>
      </bottom>
      <diagonal/>
    </border>
    <border>
      <left style="medium">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ck">
        <color auto="1"/>
      </right>
      <top style="thin">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right/>
      <top style="medium">
        <color auto="1"/>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indexed="64"/>
      </left>
      <right style="medium">
        <color auto="1"/>
      </right>
      <top/>
      <bottom style="medium">
        <color indexed="64"/>
      </bottom>
      <diagonal/>
    </border>
    <border>
      <left/>
      <right/>
      <top/>
      <bottom style="thin">
        <color auto="1"/>
      </bottom>
      <diagonal/>
    </border>
    <border>
      <left/>
      <right/>
      <top style="thin">
        <color auto="1"/>
      </top>
      <bottom style="thin">
        <color auto="1"/>
      </bottom>
      <diagonal/>
    </border>
    <border>
      <left/>
      <right/>
      <top style="thin">
        <color auto="1"/>
      </top>
      <bottom/>
      <diagonal/>
    </border>
  </borders>
  <cellStyleXfs count="1">
    <xf numFmtId="0" fontId="0" fillId="0" borderId="0"/>
  </cellStyleXfs>
  <cellXfs count="125">
    <xf numFmtId="0" fontId="0" fillId="0" borderId="0" xfId="0"/>
    <xf numFmtId="0" fontId="2" fillId="0" borderId="0" xfId="0" applyFont="1" applyAlignment="1">
      <alignment horizontal="left"/>
    </xf>
    <xf numFmtId="0" fontId="3" fillId="0" borderId="0" xfId="0" applyFont="1"/>
    <xf numFmtId="0" fontId="1" fillId="0" borderId="0" xfId="0" applyFont="1"/>
    <xf numFmtId="164" fontId="4" fillId="0" borderId="0" xfId="0" applyNumberFormat="1" applyFont="1" applyAlignment="1">
      <alignment horizontal="center"/>
    </xf>
    <xf numFmtId="0" fontId="0" fillId="0" borderId="0" xfId="0" applyAlignment="1">
      <alignment horizontal="left"/>
    </xf>
    <xf numFmtId="1" fontId="5" fillId="0" borderId="0" xfId="0" applyNumberFormat="1" applyFont="1" applyAlignment="1">
      <alignment horizontal="center"/>
    </xf>
    <xf numFmtId="165" fontId="5" fillId="0" borderId="0" xfId="0" applyNumberFormat="1" applyFont="1" applyAlignment="1">
      <alignment horizontal="right"/>
    </xf>
    <xf numFmtId="164" fontId="5" fillId="0" borderId="0" xfId="0" applyNumberFormat="1" applyFont="1" applyAlignment="1">
      <alignment horizontal="center"/>
    </xf>
    <xf numFmtId="0" fontId="6" fillId="2" borderId="1" xfId="0" applyFont="1" applyFill="1" applyBorder="1" applyAlignment="1">
      <alignment horizontal="center"/>
    </xf>
    <xf numFmtId="0" fontId="6" fillId="2" borderId="2" xfId="0" applyFont="1" applyFill="1" applyBorder="1" applyAlignment="1">
      <alignment horizontal="center"/>
    </xf>
    <xf numFmtId="0" fontId="6" fillId="2" borderId="3" xfId="0" applyFont="1" applyFill="1" applyBorder="1" applyAlignment="1">
      <alignment horizontal="center"/>
    </xf>
    <xf numFmtId="0" fontId="6" fillId="2" borderId="0" xfId="0" applyFont="1" applyFill="1" applyAlignment="1">
      <alignment horizontal="center"/>
    </xf>
    <xf numFmtId="0" fontId="7" fillId="0" borderId="0" xfId="0" applyFont="1"/>
    <xf numFmtId="0" fontId="7" fillId="0" borderId="4" xfId="0" applyFont="1" applyBorder="1"/>
    <xf numFmtId="3" fontId="8" fillId="0" borderId="5" xfId="0" applyNumberFormat="1" applyFont="1" applyBorder="1" applyAlignment="1">
      <alignment horizontal="center"/>
    </xf>
    <xf numFmtId="1" fontId="8" fillId="0" borderId="5" xfId="0" applyNumberFormat="1" applyFont="1" applyBorder="1" applyAlignment="1">
      <alignment horizontal="center"/>
    </xf>
    <xf numFmtId="1" fontId="8" fillId="0" borderId="6" xfId="0" applyNumberFormat="1" applyFont="1" applyBorder="1" applyAlignment="1">
      <alignment horizontal="center"/>
    </xf>
    <xf numFmtId="3" fontId="6" fillId="0" borderId="0" xfId="0" applyNumberFormat="1" applyFont="1" applyAlignment="1">
      <alignment horizontal="center"/>
    </xf>
    <xf numFmtId="1" fontId="6" fillId="0" borderId="0" xfId="0" applyNumberFormat="1" applyFont="1" applyAlignment="1">
      <alignment horizontal="center"/>
    </xf>
    <xf numFmtId="0" fontId="7" fillId="0" borderId="7" xfId="0" applyFont="1" applyBorder="1"/>
    <xf numFmtId="3" fontId="8" fillId="0" borderId="8" xfId="0" applyNumberFormat="1" applyFont="1" applyBorder="1" applyAlignment="1">
      <alignment horizontal="center"/>
    </xf>
    <xf numFmtId="1" fontId="8" fillId="0" borderId="8" xfId="0" applyNumberFormat="1" applyFont="1" applyBorder="1" applyAlignment="1">
      <alignment horizontal="center"/>
    </xf>
    <xf numFmtId="1" fontId="8" fillId="0" borderId="9" xfId="0" applyNumberFormat="1" applyFont="1" applyBorder="1" applyAlignment="1">
      <alignment horizontal="center"/>
    </xf>
    <xf numFmtId="2" fontId="6" fillId="0" borderId="0" xfId="0" applyNumberFormat="1" applyFont="1" applyAlignment="1">
      <alignment horizontal="center"/>
    </xf>
    <xf numFmtId="0" fontId="1" fillId="2" borderId="10" xfId="0" applyFont="1" applyFill="1" applyBorder="1" applyAlignment="1">
      <alignment horizontal="left"/>
    </xf>
    <xf numFmtId="0" fontId="9" fillId="2" borderId="11" xfId="0" applyFont="1" applyFill="1" applyBorder="1" applyAlignment="1">
      <alignment horizontal="center"/>
    </xf>
    <xf numFmtId="0" fontId="9" fillId="2" borderId="12" xfId="0" applyFont="1" applyFill="1" applyBorder="1" applyAlignment="1">
      <alignment horizontal="center"/>
    </xf>
    <xf numFmtId="0" fontId="9" fillId="2" borderId="13" xfId="0" applyFont="1" applyFill="1" applyBorder="1" applyAlignment="1">
      <alignment horizontal="center"/>
    </xf>
    <xf numFmtId="0" fontId="9" fillId="2" borderId="14" xfId="0" applyFont="1" applyFill="1" applyBorder="1" applyAlignment="1">
      <alignment horizontal="center"/>
    </xf>
    <xf numFmtId="0" fontId="1" fillId="3" borderId="15" xfId="0" applyFont="1" applyFill="1" applyBorder="1" applyAlignment="1">
      <alignment horizontal="left"/>
    </xf>
    <xf numFmtId="0" fontId="10" fillId="4" borderId="16" xfId="0" applyFont="1" applyFill="1" applyBorder="1" applyAlignment="1">
      <alignment horizontal="center"/>
    </xf>
    <xf numFmtId="0" fontId="10" fillId="4" borderId="17" xfId="0" applyFont="1" applyFill="1" applyBorder="1" applyAlignment="1">
      <alignment horizontal="center"/>
    </xf>
    <xf numFmtId="0" fontId="10" fillId="4" borderId="18" xfId="0" applyFont="1" applyFill="1" applyBorder="1" applyAlignment="1">
      <alignment horizontal="center"/>
    </xf>
    <xf numFmtId="0" fontId="1" fillId="2" borderId="19" xfId="0" applyFont="1" applyFill="1" applyBorder="1" applyAlignment="1">
      <alignment horizontal="left"/>
    </xf>
    <xf numFmtId="0" fontId="11" fillId="5" borderId="20" xfId="0" applyFont="1" applyFill="1" applyBorder="1" applyAlignment="1">
      <alignment horizontal="center"/>
    </xf>
    <xf numFmtId="0" fontId="11" fillId="5" borderId="21" xfId="0" applyFont="1" applyFill="1" applyBorder="1" applyAlignment="1">
      <alignment horizontal="center"/>
    </xf>
    <xf numFmtId="0" fontId="11" fillId="5" borderId="22" xfId="0" applyFont="1" applyFill="1" applyBorder="1" applyAlignment="1">
      <alignment horizontal="center"/>
    </xf>
    <xf numFmtId="0" fontId="11" fillId="5" borderId="23" xfId="0" applyFont="1" applyFill="1" applyBorder="1" applyAlignment="1">
      <alignment horizontal="center"/>
    </xf>
    <xf numFmtId="0" fontId="6" fillId="6" borderId="24" xfId="0" applyFont="1" applyFill="1" applyBorder="1" applyAlignment="1">
      <alignment horizontal="center" vertical="center" wrapText="1"/>
    </xf>
    <xf numFmtId="0" fontId="12" fillId="6" borderId="25" xfId="0" applyFont="1" applyFill="1" applyBorder="1" applyAlignment="1">
      <alignment horizontal="left" vertical="top" wrapText="1"/>
    </xf>
    <xf numFmtId="3" fontId="12" fillId="6" borderId="5" xfId="0" applyNumberFormat="1" applyFont="1" applyFill="1" applyBorder="1" applyAlignment="1">
      <alignment horizontal="center" vertical="top" wrapText="1"/>
    </xf>
    <xf numFmtId="1" fontId="12" fillId="6" borderId="5" xfId="0" applyNumberFormat="1" applyFont="1" applyFill="1" applyBorder="1" applyAlignment="1">
      <alignment horizontal="center" vertical="top" wrapText="1"/>
    </xf>
    <xf numFmtId="1" fontId="12" fillId="6" borderId="26" xfId="0" applyNumberFormat="1" applyFont="1" applyFill="1" applyBorder="1" applyAlignment="1">
      <alignment horizontal="center" vertical="top" wrapText="1"/>
    </xf>
    <xf numFmtId="1" fontId="12" fillId="6" borderId="27" xfId="0" applyNumberFormat="1" applyFont="1" applyFill="1" applyBorder="1" applyAlignment="1">
      <alignment horizontal="center" vertical="top" wrapText="1"/>
    </xf>
    <xf numFmtId="0" fontId="6" fillId="7" borderId="24" xfId="0" applyFont="1" applyFill="1" applyBorder="1" applyAlignment="1">
      <alignment horizontal="center" vertical="center" wrapText="1"/>
    </xf>
    <xf numFmtId="0" fontId="12" fillId="7" borderId="25" xfId="0" applyFont="1" applyFill="1" applyBorder="1" applyAlignment="1">
      <alignment horizontal="left" vertical="top" wrapText="1"/>
    </xf>
    <xf numFmtId="3" fontId="12" fillId="7" borderId="5" xfId="0" applyNumberFormat="1" applyFont="1" applyFill="1" applyBorder="1" applyAlignment="1">
      <alignment horizontal="center" vertical="top" wrapText="1"/>
    </xf>
    <xf numFmtId="1" fontId="12" fillId="7" borderId="5" xfId="0" applyNumberFormat="1" applyFont="1" applyFill="1" applyBorder="1" applyAlignment="1">
      <alignment horizontal="center" vertical="top" wrapText="1"/>
    </xf>
    <xf numFmtId="1" fontId="12" fillId="7" borderId="26" xfId="0" applyNumberFormat="1" applyFont="1" applyFill="1" applyBorder="1" applyAlignment="1">
      <alignment horizontal="center" vertical="top" wrapText="1"/>
    </xf>
    <xf numFmtId="1" fontId="12" fillId="7" borderId="27" xfId="0" applyNumberFormat="1" applyFont="1" applyFill="1" applyBorder="1" applyAlignment="1">
      <alignment horizontal="center" vertical="top" wrapText="1"/>
    </xf>
    <xf numFmtId="0" fontId="6" fillId="8" borderId="24" xfId="0" applyFont="1" applyFill="1" applyBorder="1" applyAlignment="1">
      <alignment horizontal="center" vertical="center" wrapText="1"/>
    </xf>
    <xf numFmtId="0" fontId="12" fillId="8" borderId="25" xfId="0" applyFont="1" applyFill="1" applyBorder="1" applyAlignment="1">
      <alignment horizontal="left" vertical="top" wrapText="1"/>
    </xf>
    <xf numFmtId="3" fontId="12" fillId="8" borderId="5" xfId="0" applyNumberFormat="1" applyFont="1" applyFill="1" applyBorder="1" applyAlignment="1">
      <alignment horizontal="center" vertical="top" wrapText="1"/>
    </xf>
    <xf numFmtId="1" fontId="12" fillId="8" borderId="5" xfId="0" applyNumberFormat="1" applyFont="1" applyFill="1" applyBorder="1" applyAlignment="1">
      <alignment horizontal="center" vertical="top" wrapText="1"/>
    </xf>
    <xf numFmtId="1" fontId="12" fillId="8" borderId="26" xfId="0" applyNumberFormat="1" applyFont="1" applyFill="1" applyBorder="1" applyAlignment="1">
      <alignment horizontal="center" vertical="top" wrapText="1"/>
    </xf>
    <xf numFmtId="1" fontId="12" fillId="8" borderId="27" xfId="0" applyNumberFormat="1" applyFont="1" applyFill="1" applyBorder="1" applyAlignment="1">
      <alignment horizontal="center" vertical="top" wrapText="1"/>
    </xf>
    <xf numFmtId="0" fontId="6" fillId="9" borderId="24" xfId="0" applyFont="1" applyFill="1" applyBorder="1" applyAlignment="1">
      <alignment horizontal="center" vertical="center" wrapText="1"/>
    </xf>
    <xf numFmtId="0" fontId="12" fillId="9" borderId="25" xfId="0" applyFont="1" applyFill="1" applyBorder="1" applyAlignment="1">
      <alignment horizontal="left" vertical="top" wrapText="1"/>
    </xf>
    <xf numFmtId="3" fontId="12" fillId="9" borderId="5" xfId="0" applyNumberFormat="1" applyFont="1" applyFill="1" applyBorder="1" applyAlignment="1">
      <alignment horizontal="center" vertical="top" wrapText="1"/>
    </xf>
    <xf numFmtId="1" fontId="12" fillId="9" borderId="5" xfId="0" applyNumberFormat="1" applyFont="1" applyFill="1" applyBorder="1" applyAlignment="1">
      <alignment horizontal="center" vertical="top" wrapText="1"/>
    </xf>
    <xf numFmtId="1" fontId="12" fillId="9" borderId="26" xfId="0" applyNumberFormat="1" applyFont="1" applyFill="1" applyBorder="1" applyAlignment="1">
      <alignment horizontal="center" vertical="top" wrapText="1"/>
    </xf>
    <xf numFmtId="1" fontId="12" fillId="9" borderId="27" xfId="0" applyNumberFormat="1" applyFont="1" applyFill="1" applyBorder="1" applyAlignment="1">
      <alignment horizontal="center" vertical="top" wrapText="1"/>
    </xf>
    <xf numFmtId="0" fontId="6" fillId="10" borderId="24" xfId="0" applyFont="1" applyFill="1" applyBorder="1" applyAlignment="1">
      <alignment horizontal="center" vertical="center" wrapText="1"/>
    </xf>
    <xf numFmtId="0" fontId="12" fillId="10" borderId="25" xfId="0" applyFont="1" applyFill="1" applyBorder="1" applyAlignment="1">
      <alignment horizontal="left" vertical="top" wrapText="1"/>
    </xf>
    <xf numFmtId="3" fontId="12" fillId="10" borderId="5" xfId="0" applyNumberFormat="1" applyFont="1" applyFill="1" applyBorder="1" applyAlignment="1">
      <alignment horizontal="center" vertical="top" wrapText="1"/>
    </xf>
    <xf numFmtId="1" fontId="12" fillId="10" borderId="5" xfId="0" applyNumberFormat="1" applyFont="1" applyFill="1" applyBorder="1" applyAlignment="1">
      <alignment horizontal="center" vertical="top" wrapText="1"/>
    </xf>
    <xf numFmtId="1" fontId="12" fillId="10" borderId="26" xfId="0" applyNumberFormat="1" applyFont="1" applyFill="1" applyBorder="1" applyAlignment="1">
      <alignment horizontal="center" vertical="top" wrapText="1"/>
    </xf>
    <xf numFmtId="1" fontId="12" fillId="10" borderId="27" xfId="0" applyNumberFormat="1" applyFont="1" applyFill="1" applyBorder="1" applyAlignment="1">
      <alignment horizontal="center" vertical="top" wrapText="1"/>
    </xf>
    <xf numFmtId="0" fontId="6" fillId="11" borderId="24" xfId="0" applyFont="1" applyFill="1" applyBorder="1" applyAlignment="1">
      <alignment horizontal="center" vertical="center" wrapText="1"/>
    </xf>
    <xf numFmtId="0" fontId="13" fillId="11" borderId="25" xfId="0" applyFont="1" applyFill="1" applyBorder="1" applyAlignment="1">
      <alignment horizontal="left" vertical="center" wrapText="1"/>
    </xf>
    <xf numFmtId="3" fontId="1" fillId="11" borderId="5" xfId="0" applyNumberFormat="1" applyFont="1" applyFill="1" applyBorder="1" applyAlignment="1">
      <alignment horizontal="center" vertical="top" wrapText="1"/>
    </xf>
    <xf numFmtId="1" fontId="1" fillId="11" borderId="5" xfId="0" applyNumberFormat="1" applyFont="1" applyFill="1" applyBorder="1" applyAlignment="1">
      <alignment horizontal="center" vertical="top" wrapText="1"/>
    </xf>
    <xf numFmtId="1" fontId="1" fillId="11" borderId="26" xfId="0" applyNumberFormat="1" applyFont="1" applyFill="1" applyBorder="1" applyAlignment="1">
      <alignment horizontal="center" vertical="top" wrapText="1"/>
    </xf>
    <xf numFmtId="1" fontId="1" fillId="11" borderId="27" xfId="0" applyNumberFormat="1" applyFont="1" applyFill="1" applyBorder="1" applyAlignment="1">
      <alignment horizontal="center" vertical="top" wrapText="1"/>
    </xf>
    <xf numFmtId="0" fontId="6" fillId="12" borderId="24" xfId="0" applyFont="1" applyFill="1" applyBorder="1" applyAlignment="1">
      <alignment horizontal="center" vertical="center" wrapText="1"/>
    </xf>
    <xf numFmtId="0" fontId="14" fillId="12" borderId="25" xfId="0" applyFont="1" applyFill="1" applyBorder="1" applyAlignment="1">
      <alignment horizontal="left" vertical="center" wrapText="1"/>
    </xf>
    <xf numFmtId="3" fontId="15" fillId="12" borderId="5" xfId="0" applyNumberFormat="1" applyFont="1" applyFill="1" applyBorder="1" applyAlignment="1">
      <alignment horizontal="center" vertical="top" wrapText="1"/>
    </xf>
    <xf numFmtId="1" fontId="15" fillId="12" borderId="5" xfId="0" applyNumberFormat="1" applyFont="1" applyFill="1" applyBorder="1" applyAlignment="1">
      <alignment horizontal="center" vertical="top" wrapText="1"/>
    </xf>
    <xf numFmtId="1" fontId="15" fillId="12" borderId="26" xfId="0" applyNumberFormat="1" applyFont="1" applyFill="1" applyBorder="1" applyAlignment="1">
      <alignment horizontal="center" vertical="top" wrapText="1"/>
    </xf>
    <xf numFmtId="1" fontId="15" fillId="12" borderId="27" xfId="0" applyNumberFormat="1" applyFont="1" applyFill="1" applyBorder="1" applyAlignment="1">
      <alignment horizontal="center" vertical="top" wrapText="1"/>
    </xf>
    <xf numFmtId="0" fontId="16" fillId="12" borderId="25" xfId="0" applyFont="1" applyFill="1" applyBorder="1" applyAlignment="1">
      <alignment horizontal="left" vertical="center" wrapText="1"/>
    </xf>
    <xf numFmtId="166" fontId="12" fillId="12" borderId="5" xfId="0" applyNumberFormat="1" applyFont="1" applyFill="1" applyBorder="1" applyAlignment="1">
      <alignment horizontal="center" vertical="top" wrapText="1"/>
    </xf>
    <xf numFmtId="167" fontId="12" fillId="12" borderId="5" xfId="0" applyNumberFormat="1" applyFont="1" applyFill="1" applyBorder="1" applyAlignment="1">
      <alignment horizontal="center" vertical="top" wrapText="1"/>
    </xf>
    <xf numFmtId="167" fontId="12" fillId="12" borderId="26" xfId="0" applyNumberFormat="1" applyFont="1" applyFill="1" applyBorder="1" applyAlignment="1">
      <alignment horizontal="center" vertical="top" wrapText="1"/>
    </xf>
    <xf numFmtId="167" fontId="12" fillId="12" borderId="27" xfId="0" applyNumberFormat="1" applyFont="1" applyFill="1" applyBorder="1" applyAlignment="1">
      <alignment horizontal="center" vertical="top" wrapText="1"/>
    </xf>
    <xf numFmtId="0" fontId="17" fillId="12" borderId="5" xfId="0" applyFont="1" applyFill="1" applyBorder="1" applyAlignment="1">
      <alignment horizontal="center" vertical="top" wrapText="1"/>
    </xf>
    <xf numFmtId="0" fontId="17" fillId="12" borderId="26" xfId="0" applyFont="1" applyFill="1" applyBorder="1" applyAlignment="1">
      <alignment horizontal="center" vertical="top" wrapText="1"/>
    </xf>
    <xf numFmtId="0" fontId="17" fillId="12" borderId="27" xfId="0" applyFont="1" applyFill="1" applyBorder="1" applyAlignment="1">
      <alignment horizontal="center" vertical="top" wrapText="1"/>
    </xf>
    <xf numFmtId="0" fontId="6" fillId="8" borderId="10" xfId="0" applyFont="1" applyFill="1" applyBorder="1" applyAlignment="1">
      <alignment wrapText="1"/>
    </xf>
    <xf numFmtId="3" fontId="6" fillId="8" borderId="28" xfId="0" applyNumberFormat="1" applyFont="1" applyFill="1" applyBorder="1" applyAlignment="1">
      <alignment horizontal="center" vertical="center" wrapText="1"/>
    </xf>
    <xf numFmtId="0" fontId="7" fillId="0" borderId="28" xfId="0" applyFont="1" applyBorder="1" applyAlignment="1">
      <alignment horizontal="center" vertical="center" wrapText="1"/>
    </xf>
    <xf numFmtId="3" fontId="6" fillId="8" borderId="29" xfId="0" applyNumberFormat="1" applyFont="1" applyFill="1" applyBorder="1" applyAlignment="1">
      <alignment horizontal="center" vertical="center" wrapText="1"/>
    </xf>
    <xf numFmtId="0" fontId="7" fillId="0" borderId="30" xfId="0" applyFont="1" applyBorder="1" applyAlignment="1">
      <alignment horizontal="center" vertical="center" wrapText="1"/>
    </xf>
    <xf numFmtId="0" fontId="6" fillId="8" borderId="31" xfId="0" applyFont="1" applyFill="1" applyBorder="1" applyAlignment="1">
      <alignment wrapText="1"/>
    </xf>
    <xf numFmtId="0" fontId="8" fillId="13" borderId="16" xfId="0" applyFont="1" applyFill="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168" fontId="18" fillId="8" borderId="32" xfId="0" applyNumberFormat="1" applyFont="1" applyFill="1" applyBorder="1" applyAlignment="1">
      <alignment horizontal="center" vertical="center" wrapText="1"/>
    </xf>
    <xf numFmtId="0" fontId="7" fillId="0" borderId="32" xfId="0" applyFont="1" applyBorder="1" applyAlignment="1">
      <alignment horizontal="center" vertical="center" wrapText="1"/>
    </xf>
    <xf numFmtId="168" fontId="18" fillId="8" borderId="33" xfId="0" applyNumberFormat="1" applyFont="1" applyFill="1" applyBorder="1" applyAlignment="1">
      <alignment horizontal="center" vertical="center" wrapText="1"/>
    </xf>
    <xf numFmtId="0" fontId="7" fillId="0" borderId="34" xfId="0" applyFont="1" applyBorder="1" applyAlignment="1">
      <alignment horizontal="center" vertical="center" wrapText="1"/>
    </xf>
    <xf numFmtId="0" fontId="6" fillId="8" borderId="35" xfId="0" applyFont="1" applyFill="1" applyBorder="1" applyAlignment="1">
      <alignment wrapText="1"/>
    </xf>
    <xf numFmtId="169" fontId="19" fillId="8" borderId="17" xfId="0" applyNumberFormat="1" applyFont="1" applyFill="1" applyBorder="1" applyAlignment="1">
      <alignment horizontal="center" vertical="center" wrapText="1"/>
    </xf>
    <xf numFmtId="169" fontId="19" fillId="8" borderId="16" xfId="0" applyNumberFormat="1" applyFont="1" applyFill="1" applyBorder="1" applyAlignment="1">
      <alignment horizontal="center" vertical="center" wrapText="1"/>
    </xf>
    <xf numFmtId="0" fontId="20" fillId="8" borderId="0" xfId="0" applyFont="1" applyFill="1"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20" fillId="0" borderId="0" xfId="0" applyFont="1"/>
    <xf numFmtId="0" fontId="21" fillId="0" borderId="0" xfId="0" applyFont="1"/>
    <xf numFmtId="3" fontId="8" fillId="0" borderId="0" xfId="0" applyNumberFormat="1" applyFont="1" applyAlignment="1">
      <alignment horizontal="left"/>
    </xf>
    <xf numFmtId="0" fontId="22" fillId="0" borderId="0" xfId="0" applyFont="1" applyAlignment="1">
      <alignment wrapText="1"/>
    </xf>
    <xf numFmtId="0" fontId="6" fillId="0" borderId="36" xfId="0" applyFont="1" applyBorder="1"/>
    <xf numFmtId="0" fontId="0" fillId="0" borderId="36" xfId="0" applyBorder="1"/>
    <xf numFmtId="0" fontId="1" fillId="3" borderId="37" xfId="0" applyFont="1" applyFill="1" applyBorder="1"/>
    <xf numFmtId="0" fontId="0" fillId="3" borderId="37" xfId="0" applyFill="1" applyBorder="1"/>
    <xf numFmtId="0" fontId="1" fillId="0" borderId="37" xfId="0" applyFont="1" applyBorder="1"/>
    <xf numFmtId="0" fontId="5" fillId="0" borderId="37" xfId="0" applyFont="1" applyBorder="1"/>
    <xf numFmtId="0" fontId="0" fillId="0" borderId="37" xfId="0" applyBorder="1"/>
    <xf numFmtId="0" fontId="5" fillId="0" borderId="37" xfId="0" applyFont="1" applyBorder="1" applyAlignment="1">
      <alignment wrapText="1"/>
    </xf>
    <xf numFmtId="0" fontId="1" fillId="0" borderId="38" xfId="0" applyFont="1" applyBorder="1"/>
    <xf numFmtId="0" fontId="0" fillId="0" borderId="38" xfId="0" applyBorder="1"/>
    <xf numFmtId="0" fontId="1" fillId="7" borderId="38" xfId="0" applyFont="1" applyFill="1" applyBorder="1"/>
    <xf numFmtId="0" fontId="1" fillId="3" borderId="0" xfId="0" applyFont="1" applyFill="1"/>
    <xf numFmtId="0" fontId="5" fillId="0" borderId="0" xfId="0" applyFont="1"/>
  </cellXfs>
  <cellStyles count="1">
    <cellStyle name="Normal" xfId="0" builtinId="0"/>
  </cellStyles>
  <dxfs count="105">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ont>
        <b/>
        <i val="0"/>
        <color rgb="FF006100"/>
      </font>
      <fill>
        <patternFill patternType="solid">
          <fgColor indexed="64"/>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98342132-my.sharepoint.com/personal/simon_bocubimobiliario_com/Documents/Escritorio/varios/DIETA%20SIMON.xlsx" TargetMode="External"/><Relationship Id="rId1" Type="http://schemas.openxmlformats.org/officeDocument/2006/relationships/externalLinkPath" Target="DIETA%20SIM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 val="simon"/>
      <sheetName val="PLAN NUTRICIONAL SEMANAL"/>
    </sheetNames>
    <sheetDataSet>
      <sheetData sheetId="0"/>
      <sheetData sheetId="1">
        <row r="2">
          <cell r="H2" t="str">
            <v>160g prot /250-300g carbo/60-70g grasa</v>
          </cell>
        </row>
        <row r="3">
          <cell r="H3" t="str">
            <v>2000-2300 kcal</v>
          </cell>
        </row>
      </sheetData>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1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094C49C-4B11-47E9-8112-6B9679C492C5}">
  <we:reference id="WA200010725" version="1.0.0.1" store="Omex" storeType="OMEX"/>
  <we:alternateReferences>
    <we:reference id="WA200010725" version="1.0.0.1" store="WA200010725" storeType="OMEX"/>
  </we:alternateReferences>
  <we:properties>
    <we:property name="claude.fileId" value="&quot;b41d8902-bcdc-4a00-aee6-78c38ee8913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52480-429F-4FE2-91F0-F85A8F931852}">
  <dimension ref="B1:AK79"/>
  <sheetViews>
    <sheetView tabSelected="1" workbookViewId="0">
      <selection sqref="A1:XFD1048576"/>
    </sheetView>
  </sheetViews>
  <sheetFormatPr baseColWidth="10" defaultRowHeight="14.4" x14ac:dyDescent="0.3"/>
  <cols>
    <col min="1" max="1" width="3.33203125" customWidth="1"/>
    <col min="2" max="2" width="32.44140625" customWidth="1"/>
    <col min="3" max="3" width="42.5546875" customWidth="1"/>
    <col min="4" max="7" width="7" customWidth="1"/>
    <col min="8" max="8" width="42.5546875" customWidth="1"/>
    <col min="9" max="12" width="7" customWidth="1"/>
    <col min="13" max="13" width="42.5546875" customWidth="1"/>
    <col min="14" max="17" width="7" customWidth="1"/>
    <col min="18" max="18" width="42.5546875" customWidth="1"/>
    <col min="19" max="22" width="7" customWidth="1"/>
    <col min="23" max="23" width="42.5546875" customWidth="1"/>
    <col min="24" max="27" width="7" customWidth="1"/>
    <col min="28" max="28" width="42.5546875" customWidth="1"/>
    <col min="29" max="32" width="7" customWidth="1"/>
    <col min="33" max="33" width="42.5546875" customWidth="1"/>
    <col min="34" max="37" width="7" customWidth="1"/>
  </cols>
  <sheetData>
    <row r="1" spans="2:37" ht="25.8" x14ac:dyDescent="0.5">
      <c r="B1" s="1" t="s">
        <v>0</v>
      </c>
    </row>
    <row r="2" spans="2:37" ht="15.6" x14ac:dyDescent="0.3">
      <c r="B2" s="2" t="s">
        <v>1</v>
      </c>
    </row>
    <row r="4" spans="2:37" x14ac:dyDescent="0.3">
      <c r="B4" s="3" t="s">
        <v>2</v>
      </c>
      <c r="C4" s="4">
        <v>71.8</v>
      </c>
      <c r="D4" s="5" t="str">
        <f>"kg  ·  IMC "&amp;TEXT(C4/((R4/100)^2),"0,0")&amp;"  ·  26 años"</f>
        <v>kg  ·  IMC 22,9  ·  26 años</v>
      </c>
      <c r="M4" s="3" t="s">
        <v>3</v>
      </c>
      <c r="R4" s="6">
        <v>177</v>
      </c>
    </row>
    <row r="5" spans="2:37" x14ac:dyDescent="0.3">
      <c r="B5" s="3" t="s">
        <v>4</v>
      </c>
      <c r="C5" s="7">
        <v>0.17199999999999999</v>
      </c>
      <c r="D5" s="5" t="str">
        <f>"grasa  ·  Masa grasa "&amp;TEXT(C4*C5,"0,0")&amp;" kg  ·  Libre de grasa "&amp;TEXT(C4*(1-C5),"0,0")&amp;" kg"</f>
        <v>grasa  ·  Masa grasa 12,3 kg  ·  Libre de grasa 59,5 kg</v>
      </c>
      <c r="M5" s="3" t="s">
        <v>5</v>
      </c>
      <c r="R5" s="8">
        <v>55.2</v>
      </c>
    </row>
    <row r="6" spans="2:37" ht="16.2" thickBot="1" x14ac:dyDescent="0.35">
      <c r="B6" s="2" t="s">
        <v>6</v>
      </c>
    </row>
    <row r="7" spans="2:37" x14ac:dyDescent="0.3">
      <c r="B7" s="9" t="s">
        <v>7</v>
      </c>
      <c r="C7" s="10" t="s">
        <v>8</v>
      </c>
      <c r="D7" s="10" t="s">
        <v>9</v>
      </c>
      <c r="E7" s="10" t="s">
        <v>10</v>
      </c>
      <c r="F7" s="10" t="s">
        <v>11</v>
      </c>
      <c r="G7" s="10" t="s">
        <v>12</v>
      </c>
      <c r="H7" s="10" t="s">
        <v>13</v>
      </c>
      <c r="I7" s="10" t="s">
        <v>14</v>
      </c>
      <c r="J7" s="11" t="s">
        <v>15</v>
      </c>
      <c r="M7" s="12" t="s">
        <v>16</v>
      </c>
      <c r="N7" s="13"/>
      <c r="O7" s="13"/>
      <c r="P7" s="13"/>
      <c r="Q7" s="13"/>
      <c r="R7" s="13"/>
    </row>
    <row r="8" spans="2:37" x14ac:dyDescent="0.3">
      <c r="B8" s="14" t="s">
        <v>17</v>
      </c>
      <c r="C8" s="15">
        <v>2200</v>
      </c>
      <c r="D8" s="15">
        <v>2400</v>
      </c>
      <c r="E8" s="16">
        <v>145</v>
      </c>
      <c r="F8" s="16">
        <v>155</v>
      </c>
      <c r="G8" s="16">
        <v>220</v>
      </c>
      <c r="H8" s="16">
        <v>280</v>
      </c>
      <c r="I8" s="16">
        <v>65</v>
      </c>
      <c r="J8" s="17">
        <v>80</v>
      </c>
      <c r="M8" s="13" t="s">
        <v>18</v>
      </c>
      <c r="N8" s="13"/>
      <c r="O8" s="13"/>
      <c r="P8" s="13"/>
      <c r="Q8" s="13"/>
      <c r="R8" s="18">
        <f>ROUND(AVERAGE(D22,I22,N22,S22,X22,AC22,AH22),0)</f>
        <v>2222</v>
      </c>
    </row>
    <row r="9" spans="2:37" x14ac:dyDescent="0.3">
      <c r="B9" s="14" t="s">
        <v>19</v>
      </c>
      <c r="C9" s="15">
        <v>2400</v>
      </c>
      <c r="D9" s="15">
        <v>2600</v>
      </c>
      <c r="E9" s="16">
        <v>145</v>
      </c>
      <c r="F9" s="16">
        <v>155</v>
      </c>
      <c r="G9" s="16">
        <v>280</v>
      </c>
      <c r="H9" s="16">
        <v>350</v>
      </c>
      <c r="I9" s="16">
        <v>60</v>
      </c>
      <c r="J9" s="17">
        <v>75</v>
      </c>
      <c r="M9" s="13" t="s">
        <v>20</v>
      </c>
      <c r="N9" s="13"/>
      <c r="O9" s="13"/>
      <c r="P9" s="13"/>
      <c r="Q9" s="13"/>
      <c r="R9" s="19">
        <f>ROUND(AVERAGE(E22,J22,O22,T22,Y22,AD22,AI22),0)</f>
        <v>142</v>
      </c>
    </row>
    <row r="10" spans="2:37" x14ac:dyDescent="0.3">
      <c r="B10" s="14" t="s">
        <v>21</v>
      </c>
      <c r="C10" s="15">
        <v>2500</v>
      </c>
      <c r="D10" s="15">
        <v>2800</v>
      </c>
      <c r="E10" s="16">
        <v>145</v>
      </c>
      <c r="F10" s="16">
        <v>155</v>
      </c>
      <c r="G10" s="16">
        <v>330</v>
      </c>
      <c r="H10" s="16">
        <v>400</v>
      </c>
      <c r="I10" s="16">
        <v>60</v>
      </c>
      <c r="J10" s="17">
        <v>75</v>
      </c>
      <c r="M10" s="13" t="s">
        <v>22</v>
      </c>
      <c r="N10" s="13"/>
      <c r="O10" s="13"/>
      <c r="P10" s="13"/>
      <c r="Q10" s="13"/>
      <c r="R10" s="19">
        <f>ROUND(AVERAGE(F22,K22,P22,U22,Z22,AE22,AJ22),0)</f>
        <v>270</v>
      </c>
    </row>
    <row r="11" spans="2:37" ht="15" thickBot="1" x14ac:dyDescent="0.35">
      <c r="B11" s="20" t="s">
        <v>23</v>
      </c>
      <c r="C11" s="21">
        <v>2800</v>
      </c>
      <c r="D11" s="21">
        <v>3300</v>
      </c>
      <c r="E11" s="22">
        <v>145</v>
      </c>
      <c r="F11" s="22">
        <v>155</v>
      </c>
      <c r="G11" s="22">
        <v>400</v>
      </c>
      <c r="H11" s="22">
        <v>500</v>
      </c>
      <c r="I11" s="22">
        <v>60</v>
      </c>
      <c r="J11" s="23">
        <v>75</v>
      </c>
      <c r="M11" s="13" t="s">
        <v>24</v>
      </c>
      <c r="N11" s="13"/>
      <c r="O11" s="13"/>
      <c r="P11" s="13"/>
      <c r="Q11" s="13"/>
      <c r="R11" s="19">
        <f>ROUND(AVERAGE(G22,L22,Q22,V22,AA22,AF22,AK22),0)</f>
        <v>60</v>
      </c>
    </row>
    <row r="12" spans="2:37" x14ac:dyDescent="0.3">
      <c r="M12" s="13" t="s">
        <v>25</v>
      </c>
      <c r="N12" s="13"/>
      <c r="O12" s="13"/>
      <c r="P12" s="13"/>
      <c r="Q12" s="13"/>
      <c r="R12" s="24">
        <f>ROUND(R9/$C$4,2)</f>
        <v>1.98</v>
      </c>
    </row>
    <row r="13" spans="2:37" ht="15" thickBot="1" x14ac:dyDescent="0.35">
      <c r="M13" s="13" t="s">
        <v>26</v>
      </c>
      <c r="R13" s="24">
        <f>ROUND(R9/(C4*(1-C5)),2)</f>
        <v>2.39</v>
      </c>
    </row>
    <row r="14" spans="2:37" ht="19.95" customHeight="1" thickBot="1" x14ac:dyDescent="0.35">
      <c r="B14" s="25" t="s">
        <v>27</v>
      </c>
      <c r="C14" s="26" t="s">
        <v>28</v>
      </c>
      <c r="D14" s="27"/>
      <c r="E14" s="27"/>
      <c r="F14" s="28"/>
      <c r="G14" s="29"/>
      <c r="H14" s="26" t="s">
        <v>29</v>
      </c>
      <c r="I14" s="27"/>
      <c r="J14" s="27"/>
      <c r="K14" s="28"/>
      <c r="L14" s="29"/>
      <c r="M14" s="26" t="s">
        <v>30</v>
      </c>
      <c r="N14" s="27"/>
      <c r="O14" s="27"/>
      <c r="P14" s="28"/>
      <c r="Q14" s="29"/>
      <c r="R14" s="26" t="s">
        <v>31</v>
      </c>
      <c r="S14" s="27"/>
      <c r="T14" s="27"/>
      <c r="U14" s="28"/>
      <c r="V14" s="29"/>
      <c r="W14" s="26" t="s">
        <v>32</v>
      </c>
      <c r="X14" s="27"/>
      <c r="Y14" s="27"/>
      <c r="Z14" s="28"/>
      <c r="AA14" s="29"/>
      <c r="AB14" s="26" t="s">
        <v>33</v>
      </c>
      <c r="AC14" s="27"/>
      <c r="AD14" s="27"/>
      <c r="AE14" s="28"/>
      <c r="AF14" s="29"/>
      <c r="AG14" s="26" t="s">
        <v>34</v>
      </c>
      <c r="AH14" s="27"/>
      <c r="AI14" s="27"/>
      <c r="AJ14" s="28"/>
      <c r="AK14" s="29"/>
    </row>
    <row r="15" spans="2:37" ht="19.95" customHeight="1" thickBot="1" x14ac:dyDescent="0.35">
      <c r="B15" s="30" t="s">
        <v>7</v>
      </c>
      <c r="C15" s="31" t="s">
        <v>21</v>
      </c>
      <c r="D15" s="32"/>
      <c r="E15" s="32"/>
      <c r="F15" s="32"/>
      <c r="G15" s="32"/>
      <c r="H15" s="32" t="s">
        <v>19</v>
      </c>
      <c r="I15" s="32"/>
      <c r="J15" s="32"/>
      <c r="K15" s="32"/>
      <c r="L15" s="32"/>
      <c r="M15" s="32" t="s">
        <v>19</v>
      </c>
      <c r="N15" s="32"/>
      <c r="O15" s="32"/>
      <c r="P15" s="32"/>
      <c r="Q15" s="32"/>
      <c r="R15" s="32" t="s">
        <v>19</v>
      </c>
      <c r="S15" s="32"/>
      <c r="T15" s="32"/>
      <c r="U15" s="32"/>
      <c r="V15" s="32"/>
      <c r="W15" s="32" t="s">
        <v>17</v>
      </c>
      <c r="X15" s="32"/>
      <c r="Y15" s="32"/>
      <c r="Z15" s="32"/>
      <c r="AA15" s="32"/>
      <c r="AB15" s="32" t="s">
        <v>19</v>
      </c>
      <c r="AC15" s="32"/>
      <c r="AD15" s="32"/>
      <c r="AE15" s="32"/>
      <c r="AF15" s="32"/>
      <c r="AG15" s="32" t="s">
        <v>17</v>
      </c>
      <c r="AH15" s="32"/>
      <c r="AI15" s="32"/>
      <c r="AJ15" s="32"/>
      <c r="AK15" s="33"/>
    </row>
    <row r="16" spans="2:37" ht="16.05" customHeight="1" x14ac:dyDescent="0.3">
      <c r="B16" s="34" t="s">
        <v>35</v>
      </c>
      <c r="C16" s="35" t="s">
        <v>36</v>
      </c>
      <c r="D16" s="36" t="s">
        <v>37</v>
      </c>
      <c r="E16" s="36" t="s">
        <v>38</v>
      </c>
      <c r="F16" s="37" t="s">
        <v>39</v>
      </c>
      <c r="G16" s="38" t="s">
        <v>40</v>
      </c>
      <c r="H16" s="35" t="s">
        <v>36</v>
      </c>
      <c r="I16" s="36" t="s">
        <v>37</v>
      </c>
      <c r="J16" s="36" t="s">
        <v>38</v>
      </c>
      <c r="K16" s="37" t="s">
        <v>39</v>
      </c>
      <c r="L16" s="38" t="s">
        <v>40</v>
      </c>
      <c r="M16" s="35" t="s">
        <v>36</v>
      </c>
      <c r="N16" s="36" t="s">
        <v>37</v>
      </c>
      <c r="O16" s="36" t="s">
        <v>38</v>
      </c>
      <c r="P16" s="37" t="s">
        <v>39</v>
      </c>
      <c r="Q16" s="38" t="s">
        <v>40</v>
      </c>
      <c r="R16" s="35" t="s">
        <v>36</v>
      </c>
      <c r="S16" s="36" t="s">
        <v>37</v>
      </c>
      <c r="T16" s="36" t="s">
        <v>38</v>
      </c>
      <c r="U16" s="37" t="s">
        <v>39</v>
      </c>
      <c r="V16" s="38" t="s">
        <v>40</v>
      </c>
      <c r="W16" s="35" t="s">
        <v>36</v>
      </c>
      <c r="X16" s="36" t="s">
        <v>37</v>
      </c>
      <c r="Y16" s="36" t="s">
        <v>38</v>
      </c>
      <c r="Z16" s="37" t="s">
        <v>39</v>
      </c>
      <c r="AA16" s="38" t="s">
        <v>40</v>
      </c>
      <c r="AB16" s="35" t="s">
        <v>36</v>
      </c>
      <c r="AC16" s="36" t="s">
        <v>37</v>
      </c>
      <c r="AD16" s="36" t="s">
        <v>38</v>
      </c>
      <c r="AE16" s="37" t="s">
        <v>39</v>
      </c>
      <c r="AF16" s="38" t="s">
        <v>40</v>
      </c>
      <c r="AG16" s="35" t="s">
        <v>36</v>
      </c>
      <c r="AH16" s="36" t="s">
        <v>37</v>
      </c>
      <c r="AI16" s="36" t="s">
        <v>38</v>
      </c>
      <c r="AJ16" s="37" t="s">
        <v>39</v>
      </c>
      <c r="AK16" s="38" t="s">
        <v>40</v>
      </c>
    </row>
    <row r="17" spans="2:37" ht="31.2" customHeight="1" x14ac:dyDescent="0.3">
      <c r="B17" s="39" t="s">
        <v>41</v>
      </c>
      <c r="C17" s="40" t="s">
        <v>42</v>
      </c>
      <c r="D17" s="41">
        <f>ROUND((200*$C$70+10*$C$74)/100,0)</f>
        <v>122</v>
      </c>
      <c r="E17" s="42">
        <f>ROUND((200*$D$70+10*$D$74)/100,0)</f>
        <v>6</v>
      </c>
      <c r="F17" s="43">
        <f>ROUND((200*$E$70+10*$E$74)/100,0)</f>
        <v>18</v>
      </c>
      <c r="G17" s="44">
        <f>ROUND((200*$F$70+10*$F$74)/100,0)</f>
        <v>3</v>
      </c>
      <c r="H17" s="40" t="s">
        <v>42</v>
      </c>
      <c r="I17" s="41">
        <f>ROUND((200*$C$70+10*$C$74)/100,0)</f>
        <v>122</v>
      </c>
      <c r="J17" s="42">
        <f>ROUND((200*$D$70+10*$D$74)/100,0)</f>
        <v>6</v>
      </c>
      <c r="K17" s="43">
        <f>ROUND((200*$E$70+10*$E$74)/100,0)</f>
        <v>18</v>
      </c>
      <c r="L17" s="44">
        <f>ROUND((200*$F$70+10*$F$74)/100,0)</f>
        <v>3</v>
      </c>
      <c r="M17" s="40" t="s">
        <v>42</v>
      </c>
      <c r="N17" s="41">
        <f>ROUND((200*$C$70+10*$C$74)/100,0)</f>
        <v>122</v>
      </c>
      <c r="O17" s="42">
        <f>ROUND((200*$D$70+10*$D$74)/100,0)</f>
        <v>6</v>
      </c>
      <c r="P17" s="43">
        <f>ROUND((200*$E$70+10*$E$74)/100,0)</f>
        <v>18</v>
      </c>
      <c r="Q17" s="44">
        <f>ROUND((200*$F$70+10*$F$74)/100,0)</f>
        <v>3</v>
      </c>
      <c r="R17" s="40" t="s">
        <v>42</v>
      </c>
      <c r="S17" s="41">
        <f>ROUND((200*$C$70+10*$C$74)/100,0)</f>
        <v>122</v>
      </c>
      <c r="T17" s="42">
        <f>ROUND((200*$D$70+10*$D$74)/100,0)</f>
        <v>6</v>
      </c>
      <c r="U17" s="43">
        <f>ROUND((200*$E$70+10*$E$74)/100,0)</f>
        <v>18</v>
      </c>
      <c r="V17" s="44">
        <f>ROUND((200*$F$70+10*$F$74)/100,0)</f>
        <v>3</v>
      </c>
      <c r="W17" s="40" t="s">
        <v>42</v>
      </c>
      <c r="X17" s="41">
        <f>ROUND((200*$C$70+10*$C$74)/100,0)</f>
        <v>122</v>
      </c>
      <c r="Y17" s="42">
        <f>ROUND((200*$D$70+10*$D$74)/100,0)</f>
        <v>6</v>
      </c>
      <c r="Z17" s="43">
        <f>ROUND((200*$E$70+10*$E$74)/100,0)</f>
        <v>18</v>
      </c>
      <c r="AA17" s="44">
        <f>ROUND((200*$F$70+10*$F$74)/100,0)</f>
        <v>3</v>
      </c>
      <c r="AB17" s="40" t="s">
        <v>43</v>
      </c>
      <c r="AC17" s="41">
        <f>ROUND((200*$C$70+75*$C$68+120*$C$72+15*$C$74)/100,0)</f>
        <v>437</v>
      </c>
      <c r="AD17" s="42">
        <f>ROUND((200*$D$70+75*$D$68+120*$D$72+15*$D$74)/100,0)</f>
        <v>16</v>
      </c>
      <c r="AE17" s="43">
        <f>ROUND((200*$E$70+75*$E$68+120*$E$72+15*$E$74)/100,0)</f>
        <v>80</v>
      </c>
      <c r="AF17" s="44">
        <f>ROUND((200*$F$70+75*$F$68+120*$F$72+15*$F$74)/100,0)</f>
        <v>5</v>
      </c>
      <c r="AG17" s="40" t="s">
        <v>44</v>
      </c>
      <c r="AH17" s="41">
        <f>ROUND((200*$C$70+15*$C$74+40*$C$68)/100,0)</f>
        <v>240</v>
      </c>
      <c r="AI17" s="42">
        <f>ROUND((200*$D$70+15*$D$74+40*$D$68)/100,0)</f>
        <v>11</v>
      </c>
      <c r="AJ17" s="43">
        <f>ROUND((200*$E$70+15*$E$74+40*$E$68)/100,0)</f>
        <v>40</v>
      </c>
      <c r="AK17" s="44">
        <f>ROUND((200*$F$70+15*$F$74+40*$F$68)/100,0)</f>
        <v>4</v>
      </c>
    </row>
    <row r="18" spans="2:37" ht="63.6" customHeight="1" x14ac:dyDescent="0.3">
      <c r="B18" s="45" t="s">
        <v>45</v>
      </c>
      <c r="C18" s="46" t="s">
        <v>46</v>
      </c>
      <c r="D18" s="47">
        <f>ROUND((95*$C$68+75*$C$71+15*$C$59+50*$C$77+20*$C$66+120*$C$72)/100,0)</f>
        <v>636</v>
      </c>
      <c r="E18" s="48">
        <f>ROUND((95*$D$68+75*$D$71+15*$D$59+50*$D$77+20*$D$66+120*$D$72)/100,0)</f>
        <v>32</v>
      </c>
      <c r="F18" s="49">
        <f>ROUND((95*$E$68+75*$E$71+15*$E$59+50*$E$77+20*$E$66+120*$E$72)/100,0)</f>
        <v>70</v>
      </c>
      <c r="G18" s="50">
        <f>ROUND((95*$F$68+75*$F$71+15*$F$59+50*$F$77+20*$F$66+120*$F$72)/100,0)</f>
        <v>24</v>
      </c>
      <c r="H18" s="46" t="s">
        <v>47</v>
      </c>
      <c r="I18" s="47">
        <f>ROUND((95*$C$68+75*$C$71+15*$C$59+30*$C$69+50*$C$77+15*$C$66+120*$C$72)/100,0)</f>
        <v>715</v>
      </c>
      <c r="J18" s="48">
        <f>ROUND((95*$D$68+75*$D$71+15*$D$59+30*$D$69+50*$D$77+15*$D$66+120*$D$72)/100,0)</f>
        <v>39</v>
      </c>
      <c r="K18" s="49">
        <f>ROUND((95*$E$68+75*$E$71+15*$E$59+30*$E$69+50*$E$77+15*$E$66+120*$E$72)/100,0)</f>
        <v>71</v>
      </c>
      <c r="L18" s="50">
        <f>ROUND((95*$F$68+75*$F$71+15*$F$59+30*$F$69+50*$F$77+15*$F$66+120*$F$72)/100,0)</f>
        <v>29</v>
      </c>
      <c r="M18" s="46" t="s">
        <v>46</v>
      </c>
      <c r="N18" s="47">
        <f>ROUND((95*$C$68+75*$C$71+15*$C$59+50*$C$77+20*$C$66+120*$C$72)/100,0)</f>
        <v>636</v>
      </c>
      <c r="O18" s="48">
        <f>ROUND((95*$D$68+75*$D$71+15*$D$59+50*$D$77+20*$D$66+120*$D$72)/100,0)</f>
        <v>32</v>
      </c>
      <c r="P18" s="49">
        <f>ROUND((95*$E$68+75*$E$71+15*$E$59+50*$E$77+20*$E$66+120*$E$72)/100,0)</f>
        <v>70</v>
      </c>
      <c r="Q18" s="50">
        <f>ROUND((95*$F$68+75*$F$71+15*$F$59+50*$F$77+20*$F$66+120*$F$72)/100,0)</f>
        <v>24</v>
      </c>
      <c r="R18" s="46" t="s">
        <v>47</v>
      </c>
      <c r="S18" s="47">
        <f>ROUND((95*$C$68+75*$C$71+15*$C$59+30*$C$69+50*$C$77+15*$C$66+120*$C$72)/100,0)</f>
        <v>715</v>
      </c>
      <c r="T18" s="48">
        <f>ROUND((95*$D$68+75*$D$71+15*$D$59+30*$D$69+50*$D$77+15*$D$66+120*$D$72)/100,0)</f>
        <v>39</v>
      </c>
      <c r="U18" s="49">
        <f>ROUND((95*$E$68+75*$E$71+15*$E$59+30*$E$69+50*$E$77+15*$E$66+120*$E$72)/100,0)</f>
        <v>71</v>
      </c>
      <c r="V18" s="50">
        <f>ROUND((95*$F$68+75*$F$71+15*$F$59+30*$F$69+50*$F$77+15*$F$66+120*$F$72)/100,0)</f>
        <v>29</v>
      </c>
      <c r="W18" s="46" t="s">
        <v>47</v>
      </c>
      <c r="X18" s="47">
        <f>ROUND((95*$C$68+75*$C$71+15*$C$59+30*$C$69+50*$C$77+15*$C$66+120*$C$72)/100,0)</f>
        <v>715</v>
      </c>
      <c r="Y18" s="48">
        <f>ROUND((95*$D$68+75*$D$71+15*$D$59+30*$D$69+50*$D$77+15*$D$66+120*$D$72)/100,0)</f>
        <v>39</v>
      </c>
      <c r="Z18" s="49">
        <f>ROUND((95*$E$68+75*$E$71+15*$E$59+30*$E$69+50*$E$77+15*$E$66+120*$E$72)/100,0)</f>
        <v>71</v>
      </c>
      <c r="AA18" s="50">
        <f>ROUND((95*$F$68+75*$F$71+15*$F$59+30*$F$69+50*$F$77+15*$F$66+120*$F$72)/100,0)</f>
        <v>29</v>
      </c>
      <c r="AB18" s="46" t="s">
        <v>48</v>
      </c>
      <c r="AC18" s="47">
        <f>ROUND((95*$C$68+120*$C$64+50*$C$77+15*$C$66)/100,0)</f>
        <v>508</v>
      </c>
      <c r="AD18" s="48">
        <f>ROUND((95*$D$68+120*$D$64+50*$D$77+15*$D$66)/100,0)</f>
        <v>39</v>
      </c>
      <c r="AE18" s="49">
        <f>ROUND((95*$E$68+120*$E$64+50*$E$77+15*$E$66)/100,0)</f>
        <v>46</v>
      </c>
      <c r="AF18" s="50">
        <f>ROUND((95*$F$68+120*$F$64+50*$F$77+15*$F$66)/100,0)</f>
        <v>17</v>
      </c>
      <c r="AG18" s="46" t="s">
        <v>49</v>
      </c>
      <c r="AH18" s="47">
        <f>ROUND((95*$C$68+120*$C$64+50*$C$77+20*$C$66+200*$C$76)/100,0)</f>
        <v>647</v>
      </c>
      <c r="AI18" s="48">
        <f>ROUND((95*$D$68+120*$D$64+50*$D$77+20*$D$66+200*$D$76)/100,0)</f>
        <v>40</v>
      </c>
      <c r="AJ18" s="49">
        <f>ROUND((95*$E$68+120*$E$64+50*$E$77+20*$E$66+200*$E$76)/100,0)</f>
        <v>70</v>
      </c>
      <c r="AK18" s="50">
        <f>ROUND((95*$F$68+120*$F$64+50*$F$77+20*$F$66+200*$F$76)/100,0)</f>
        <v>22</v>
      </c>
    </row>
    <row r="19" spans="2:37" ht="78" customHeight="1" x14ac:dyDescent="0.3">
      <c r="B19" s="51" t="s">
        <v>35</v>
      </c>
      <c r="C19" s="52" t="s">
        <v>50</v>
      </c>
      <c r="D19" s="53">
        <f>ROUND((120*$C$61+140*$C$65+200*$C$63+12*$C$66)/100,0)</f>
        <v>721</v>
      </c>
      <c r="E19" s="54">
        <f>ROUND((120*$D$61+140*$D$65+200*$D$63+12*$D$66)/100,0)</f>
        <v>44</v>
      </c>
      <c r="F19" s="55">
        <f>ROUND((120*$E$61+140*$E$65+200*$E$63+12*$E$66)/100,0)</f>
        <v>98</v>
      </c>
      <c r="G19" s="56">
        <f>ROUND((120*$F$61+140*$F$65+200*$F$63+12*$F$66)/100,0)</f>
        <v>15</v>
      </c>
      <c r="H19" s="52" t="s">
        <v>51</v>
      </c>
      <c r="I19" s="53">
        <f>ROUND((110*$C$60+120*$C$64+200*$C$63+8*$C$66)/100,0)</f>
        <v>617</v>
      </c>
      <c r="J19" s="54">
        <f>ROUND((110*$D$60+120*$D$64+200*$D$63+8*$D$66)/100,0)</f>
        <v>45</v>
      </c>
      <c r="K19" s="55">
        <f>ROUND((110*$E$60+120*$E$64+200*$E$63+8*$E$66)/100,0)</f>
        <v>77</v>
      </c>
      <c r="L19" s="56">
        <f>ROUND((110*$F$60+120*$F$64+200*$F$63+8*$F$66)/100,0)</f>
        <v>11</v>
      </c>
      <c r="M19" s="52" t="s">
        <v>50</v>
      </c>
      <c r="N19" s="53">
        <f>ROUND((120*$C$61+140*$C$65+200*$C$63+12*$C$66)/100,0)</f>
        <v>721</v>
      </c>
      <c r="O19" s="54">
        <f>ROUND((120*$D$61+140*$D$65+200*$D$63+12*$D$66)/100,0)</f>
        <v>44</v>
      </c>
      <c r="P19" s="55">
        <f>ROUND((120*$E$61+140*$E$65+200*$E$63+12*$E$66)/100,0)</f>
        <v>98</v>
      </c>
      <c r="Q19" s="56">
        <f>ROUND((120*$F$61+140*$F$65+200*$F$63+12*$F$66)/100,0)</f>
        <v>15</v>
      </c>
      <c r="R19" s="52" t="s">
        <v>52</v>
      </c>
      <c r="S19" s="53">
        <f>ROUND((110*$C$60+120*$C$64+200*$C$63+10*$C$66)/100,0)</f>
        <v>635</v>
      </c>
      <c r="T19" s="54">
        <f>ROUND((110*$D$60+120*$D$64+200*$D$63+10*$D$66)/100,0)</f>
        <v>45</v>
      </c>
      <c r="U19" s="55">
        <f>ROUND((110*$E$60+120*$E$64+200*$E$63+10*$E$66)/100,0)</f>
        <v>77</v>
      </c>
      <c r="V19" s="56">
        <f>ROUND((110*$F$60+120*$F$64+200*$F$63+10*$F$66)/100,0)</f>
        <v>13</v>
      </c>
      <c r="W19" s="52" t="s">
        <v>53</v>
      </c>
      <c r="X19" s="53">
        <f>ROUND((80*$C$61+180*$C$65+200*$C$63+18*$C$66)/100,0)</f>
        <v>681</v>
      </c>
      <c r="Y19" s="54">
        <f>ROUND((80*$D$61+180*$D$65+200*$D$63+18*$D$66)/100,0)</f>
        <v>50</v>
      </c>
      <c r="Z19" s="55">
        <f>ROUND((80*$E$61+180*$E$65+200*$E$63+18*$E$66)/100,0)</f>
        <v>68</v>
      </c>
      <c r="AA19" s="56">
        <f>ROUND((80*$F$61+180*$F$65+200*$F$63+18*$F$66)/100,0)</f>
        <v>22</v>
      </c>
      <c r="AB19" s="52" t="s">
        <v>54</v>
      </c>
      <c r="AC19" s="53">
        <f>ROUND((60*$C$61+110*$C$65+200*$C$63+12*$C$66)/100,0)</f>
        <v>481</v>
      </c>
      <c r="AD19" s="54">
        <f>ROUND((60*$D$61+110*$D$65+200*$D$63+12*$D$66)/100,0)</f>
        <v>32</v>
      </c>
      <c r="AE19" s="55">
        <f>ROUND((60*$E$61+110*$E$65+200*$E$63+12*$E$66)/100,0)</f>
        <v>53</v>
      </c>
      <c r="AF19" s="56">
        <f>ROUND((60*$F$61+110*$F$65+200*$F$63+12*$F$66)/100,0)</f>
        <v>14</v>
      </c>
      <c r="AG19" s="52" t="s">
        <v>55</v>
      </c>
      <c r="AH19" s="53">
        <f>ROUND((75*$C$60+115*$C$67+200*$C$63+10*$C$66)/100,0)</f>
        <v>515</v>
      </c>
      <c r="AI19" s="54">
        <f>ROUND((75*$D$60+115*$D$67+200*$D$63+10*$D$66)/100,0)</f>
        <v>40</v>
      </c>
      <c r="AJ19" s="55">
        <f>ROUND((75*$E$60+115*$E$67+200*$E$63+10*$E$66)/100,0)</f>
        <v>54</v>
      </c>
      <c r="AK19" s="56">
        <f>ROUND((75*$F$60+115*$F$67+200*$F$63+10*$F$66)/100,0)</f>
        <v>13</v>
      </c>
    </row>
    <row r="20" spans="2:37" ht="42.6" customHeight="1" x14ac:dyDescent="0.3">
      <c r="B20" s="57" t="s">
        <v>56</v>
      </c>
      <c r="C20" s="58" t="s">
        <v>57</v>
      </c>
      <c r="D20" s="59">
        <f>ROUND((120*$C$72)/100,0)</f>
        <v>107</v>
      </c>
      <c r="E20" s="60">
        <f>ROUND((120*$D$72)/100,0)</f>
        <v>1</v>
      </c>
      <c r="F20" s="61">
        <f>ROUND((120*$E$72)/100,0)</f>
        <v>24</v>
      </c>
      <c r="G20" s="62">
        <f>ROUND((120*$F$72)/100,0)</f>
        <v>0</v>
      </c>
      <c r="H20" s="58" t="s">
        <v>58</v>
      </c>
      <c r="I20" s="59">
        <f>ROUND((120*$C$72)/100,0)</f>
        <v>107</v>
      </c>
      <c r="J20" s="60">
        <f>ROUND((120*$D$72)/100,0)</f>
        <v>1</v>
      </c>
      <c r="K20" s="61">
        <f>ROUND((120*$E$72)/100,0)</f>
        <v>24</v>
      </c>
      <c r="L20" s="62">
        <f>ROUND((120*$F$72)/100,0)</f>
        <v>0</v>
      </c>
      <c r="M20" s="58" t="s">
        <v>59</v>
      </c>
      <c r="N20" s="59">
        <f>ROUND((120*$C$72)/100,0)</f>
        <v>107</v>
      </c>
      <c r="O20" s="60">
        <f>ROUND((120*$D$72)/100,0)</f>
        <v>1</v>
      </c>
      <c r="P20" s="61">
        <f>ROUND((120*$E$72)/100,0)</f>
        <v>24</v>
      </c>
      <c r="Q20" s="62">
        <f>ROUND((120*$F$72)/100,0)</f>
        <v>0</v>
      </c>
      <c r="R20" s="58" t="s">
        <v>60</v>
      </c>
      <c r="S20" s="59">
        <f>ROUND((120*$C$72)/100,0)</f>
        <v>107</v>
      </c>
      <c r="T20" s="60">
        <f>ROUND((120*$D$72)/100,0)</f>
        <v>1</v>
      </c>
      <c r="U20" s="61">
        <f>ROUND((120*$E$72)/100,0)</f>
        <v>24</v>
      </c>
      <c r="V20" s="62">
        <f>ROUND((120*$F$72)/100,0)</f>
        <v>0</v>
      </c>
      <c r="W20" s="58" t="s">
        <v>61</v>
      </c>
      <c r="X20" s="59">
        <f>ROUND((120*$C$72)/100,0)</f>
        <v>107</v>
      </c>
      <c r="Y20" s="60">
        <f>ROUND((120*$D$72)/100,0)</f>
        <v>1</v>
      </c>
      <c r="Z20" s="61">
        <f>ROUND((120*$E$72)/100,0)</f>
        <v>24</v>
      </c>
      <c r="AA20" s="62">
        <f>ROUND((120*$F$72)/100,0)</f>
        <v>0</v>
      </c>
      <c r="AB20" s="58" t="s">
        <v>61</v>
      </c>
      <c r="AC20" s="59">
        <f>ROUND((120*$C$72)/100,0)</f>
        <v>107</v>
      </c>
      <c r="AD20" s="60">
        <f>ROUND((120*$D$72)/100,0)</f>
        <v>1</v>
      </c>
      <c r="AE20" s="61">
        <f>ROUND((120*$E$72)/100,0)</f>
        <v>24</v>
      </c>
      <c r="AF20" s="62">
        <f>ROUND((120*$F$72)/100,0)</f>
        <v>0</v>
      </c>
      <c r="AG20" s="58" t="s">
        <v>62</v>
      </c>
      <c r="AH20" s="59">
        <f>ROUND((120*$C$72)/100,0)</f>
        <v>107</v>
      </c>
      <c r="AI20" s="60">
        <f>ROUND((120*$D$72)/100,0)</f>
        <v>1</v>
      </c>
      <c r="AJ20" s="61">
        <f>ROUND((120*$E$72)/100,0)</f>
        <v>24</v>
      </c>
      <c r="AK20" s="62">
        <f>ROUND((120*$F$72)/100,0)</f>
        <v>0</v>
      </c>
    </row>
    <row r="21" spans="2:37" ht="84" x14ac:dyDescent="0.3">
      <c r="B21" s="63" t="s">
        <v>63</v>
      </c>
      <c r="C21" s="64" t="str">
        <f>C44&amp;CHAR(10)&amp;"· "&amp;F49&amp;" g "&amp;C43&amp;IF(C45="","",CHAR(10)&amp;C45)</f>
        <v>PECHUGA CON PATATA
· 130 g pechuga de pollo a la plancha
· 150 g claras de huevo pasteurizadas Mercadona (½ botella)
· 605 g patata hervida
· 200 g verdura salteada
· 12 g AOVE</v>
      </c>
      <c r="D21" s="65">
        <f>ROUND(D45+$F49*D43/100,0)</f>
        <v>875</v>
      </c>
      <c r="E21" s="66">
        <f>ROUND(E45+$F49*E43/100,0)</f>
        <v>60</v>
      </c>
      <c r="F21" s="67">
        <f>ROUND(F45+$F49*F43/100,0)</f>
        <v>120</v>
      </c>
      <c r="G21" s="68">
        <f>ROUND(G45+$F49*G43/100,0)</f>
        <v>16</v>
      </c>
      <c r="H21" s="64" t="str">
        <f>H44&amp;CHAR(10)&amp;"· "&amp;K49&amp;" g "&amp;H43&amp;IF(H45="","",CHAR(10)&amp;H45)</f>
        <v>CARNE ROJA
· 160 g ternera magra 5% a la plancha
· 150 g claras de huevo pasteurizadas Mercadona (½ botella)
· 420 g batata hervida
· 200 g verdura salteada
· 8 g AOVE</v>
      </c>
      <c r="I21" s="65">
        <f>ROUND(I45+$K49*I43/100,0)</f>
        <v>756</v>
      </c>
      <c r="J21" s="66">
        <f>ROUND(J45+$K49*J43/100,0)</f>
        <v>62</v>
      </c>
      <c r="K21" s="67">
        <f>ROUND(K45+$K49*K43/100,0)</f>
        <v>90</v>
      </c>
      <c r="L21" s="68">
        <f>ROUND(L45+$K49*L43/100,0)</f>
        <v>17</v>
      </c>
      <c r="M21" s="64" t="str">
        <f>M44&amp;CHAR(10)&amp;"· "&amp;P49&amp;" g "&amp;M43&amp;IF(M45="","",CHAR(10)&amp;M45)</f>
        <v>PECHUGA CON BATATA
· 130 g pechuga de pollo a la plancha
· 150 g claras de huevo pasteurizadas Mercadona (½ botella)
· 295 g batata hervida
· 200 g verdura salteada
· 12 g AOVE</v>
      </c>
      <c r="N21" s="65">
        <f>ROUND(N45+$P49*N43/100,0)</f>
        <v>653</v>
      </c>
      <c r="O21" s="66">
        <f>ROUND(O45+$P49*O43/100,0)</f>
        <v>57</v>
      </c>
      <c r="P21" s="67">
        <f>ROUND(P45+$P49*P43/100,0)</f>
        <v>70</v>
      </c>
      <c r="Q21" s="68">
        <f>ROUND(Q45+$P49*Q43/100,0)</f>
        <v>15</v>
      </c>
      <c r="R21" s="64" t="str">
        <f>R44&amp;CHAR(10)&amp;"· "&amp;U49&amp;" g "&amp;R43&amp;IF(R45="","",CHAR(10)&amp;R45)</f>
        <v>PESCADO
· 160 g salmón a la plancha
· 150 g claras de huevo pasteurizadas Mercadona (½ botella)
· 440 g patata hervida
· 200 g verdura salteada
· Sin AOVE (el salmón ya aporta la grasa)</v>
      </c>
      <c r="S21" s="65">
        <f>ROUND(S45+$U49*S43/100,0)</f>
        <v>784</v>
      </c>
      <c r="T21" s="66">
        <f>ROUND(T45+$U49*T43/100,0)</f>
        <v>60</v>
      </c>
      <c r="U21" s="67">
        <f>ROUND(U45+$U49*U43/100,0)</f>
        <v>90</v>
      </c>
      <c r="V21" s="68">
        <f>ROUND(V45+$U49*V43/100,0)</f>
        <v>20</v>
      </c>
      <c r="W21" s="64" t="str">
        <f>W44&amp;CHAR(10)&amp;"· "&amp;Z49&amp;" g "&amp;W43&amp;IF(W45="","",CHAR(10)&amp;W45)</f>
        <v>PECHUGA CON PATATA
· 90 g pechuga de pollo a la plancha
· 150 g claras de huevo pasteurizadas Mercadona (½ botella)
· 145 g patata hervida
· 200 g verdura salteada
· 12 g AOVE</v>
      </c>
      <c r="X21" s="65">
        <f>ROUND(X45+$Z49*X43/100,0)</f>
        <v>461</v>
      </c>
      <c r="Y21" s="66">
        <f>ROUND(Y45+$Z49*Y43/100,0)</f>
        <v>43</v>
      </c>
      <c r="Z21" s="67">
        <f>ROUND(Z45+$Z49*Z43/100,0)</f>
        <v>39</v>
      </c>
      <c r="AA21" s="68">
        <f>ROUND(AA45+$Z49*AA43/100,0)</f>
        <v>15</v>
      </c>
      <c r="AB21" s="64" t="str">
        <f>AB44&amp;CHAR(10)&amp;"· "&amp;AE49&amp;" g "&amp;AB43&amp;IF(AB45="","",CHAR(10)&amp;AB45)</f>
        <v>· 90 g ternera magra 5%
· 150 g claras de huevo pasteurizadas Mercadona (½ botella)
· 370 g boniato asado
· Verdura libre
· 12 g AOVE</v>
      </c>
      <c r="AC21" s="65">
        <f>ROUND(AC45+$AE49*AC43/100,0)</f>
        <v>611</v>
      </c>
      <c r="AD21" s="66">
        <f>ROUND(AD45+$AE49*AD43/100,0)</f>
        <v>40</v>
      </c>
      <c r="AE21" s="67">
        <f>ROUND(AE45+$AE49*AE43/100,0)</f>
        <v>77</v>
      </c>
      <c r="AF21" s="68">
        <f>ROUND(AF45+$AE49*AF43/100,0)</f>
        <v>19</v>
      </c>
      <c r="AG21" s="64" t="str">
        <f>AG44&amp;CHAR(10)&amp;"· "&amp;AJ49&amp;" g "&amp;AG43&amp;IF(AG45="","",CHAR(10)&amp;AG45)</f>
        <v>· 140 g pescado blanco al horno
· 150 g claras de huevo pasteurizadas Mercadona (½ botella)
· 150 g patata cocida
· Verdura libre
· 12 g AOVE</v>
      </c>
      <c r="AH21" s="65">
        <f>ROUND(AH45+$AJ49*AH43/100,0)</f>
        <v>433</v>
      </c>
      <c r="AI21" s="66">
        <f>ROUND(AI45+$AJ49*AI43/100,0)</f>
        <v>45</v>
      </c>
      <c r="AJ21" s="67">
        <f>ROUND(AJ45+$AJ49*AJ43/100,0)</f>
        <v>32</v>
      </c>
      <c r="AK21" s="68">
        <f>ROUND(AK45+$AJ49*AK43/100,0)</f>
        <v>14</v>
      </c>
    </row>
    <row r="22" spans="2:37" ht="30" customHeight="1" x14ac:dyDescent="0.3">
      <c r="B22" s="69" t="s">
        <v>64</v>
      </c>
      <c r="C22" s="70" t="str">
        <f>"INGESTA: "&amp;ROUND(D22,0)&amp;" kcal  |  P "&amp;ROUND(E22,0)&amp;" g  |  C "&amp;ROUND(F22,0)&amp;" g  |  G "&amp;ROUND(G22,0)&amp;" g"</f>
        <v>INGESTA: 2461 kcal  |  P 143 g  |  C 330 g  |  G 58 g</v>
      </c>
      <c r="D22" s="71">
        <f>SUM(D17:D21)</f>
        <v>2461</v>
      </c>
      <c r="E22" s="72">
        <f>SUM(E17:E21)</f>
        <v>143</v>
      </c>
      <c r="F22" s="73">
        <f>SUM(F17:F21)</f>
        <v>330</v>
      </c>
      <c r="G22" s="74">
        <f>SUM(G17:G21)</f>
        <v>58</v>
      </c>
      <c r="H22" s="70" t="str">
        <f>"INGESTA: "&amp;ROUND(I22,0)&amp;" kcal  |  P "&amp;ROUND(J22,0)&amp;" g  |  C "&amp;ROUND(K22,0)&amp;" g  |  G "&amp;ROUND(L22,0)&amp;" g"</f>
        <v>INGESTA: 2317 kcal  |  P 153 g  |  C 280 g  |  G 60 g</v>
      </c>
      <c r="I22" s="71">
        <f>SUM(I17:I21)</f>
        <v>2317</v>
      </c>
      <c r="J22" s="72">
        <f>SUM(J17:J21)</f>
        <v>153</v>
      </c>
      <c r="K22" s="73">
        <f>SUM(K17:K21)</f>
        <v>280</v>
      </c>
      <c r="L22" s="74">
        <f>SUM(L17:L21)</f>
        <v>60</v>
      </c>
      <c r="M22" s="70" t="str">
        <f>"INGESTA: "&amp;ROUND(N22,0)&amp;" kcal  |  P "&amp;ROUND(O22,0)&amp;" g  |  C "&amp;ROUND(P22,0)&amp;" g  |  G "&amp;ROUND(Q22,0)&amp;" g"</f>
        <v>INGESTA: 2239 kcal  |  P 140 g  |  C 280 g  |  G 57 g</v>
      </c>
      <c r="N22" s="71">
        <f>SUM(N17:N21)</f>
        <v>2239</v>
      </c>
      <c r="O22" s="72">
        <f>SUM(O17:O21)</f>
        <v>140</v>
      </c>
      <c r="P22" s="73">
        <f>SUM(P17:P21)</f>
        <v>280</v>
      </c>
      <c r="Q22" s="74">
        <f>SUM(Q17:Q21)</f>
        <v>57</v>
      </c>
      <c r="R22" s="70" t="str">
        <f>"INGESTA: "&amp;ROUND(S22,0)&amp;" kcal  |  P "&amp;ROUND(T22,0)&amp;" g  |  C "&amp;ROUND(U22,0)&amp;" g  |  G "&amp;ROUND(V22,0)&amp;" g"</f>
        <v>INGESTA: 2363 kcal  |  P 151 g  |  C 280 g  |  G 65 g</v>
      </c>
      <c r="S22" s="71">
        <f>SUM(S17:S21)</f>
        <v>2363</v>
      </c>
      <c r="T22" s="72">
        <f>SUM(T17:T21)</f>
        <v>151</v>
      </c>
      <c r="U22" s="73">
        <f>SUM(U17:U21)</f>
        <v>280</v>
      </c>
      <c r="V22" s="74">
        <f>SUM(V17:V21)</f>
        <v>65</v>
      </c>
      <c r="W22" s="70" t="str">
        <f>"INGESTA: "&amp;ROUND(X22,0)&amp;" kcal  |  P "&amp;ROUND(Y22,0)&amp;" g  |  C "&amp;ROUND(Z22,0)&amp;" g  |  G "&amp;ROUND(AA22,0)&amp;" g"</f>
        <v>INGESTA: 2086 kcal  |  P 139 g  |  C 220 g  |  G 69 g</v>
      </c>
      <c r="X22" s="71">
        <f>SUM(X17:X21)</f>
        <v>2086</v>
      </c>
      <c r="Y22" s="72">
        <f>SUM(Y17:Y21)</f>
        <v>139</v>
      </c>
      <c r="Z22" s="73">
        <f>SUM(Z17:Z21)</f>
        <v>220</v>
      </c>
      <c r="AA22" s="74">
        <f>SUM(AA17:AA21)</f>
        <v>69</v>
      </c>
      <c r="AB22" s="70" t="str">
        <f>"INGESTA: "&amp;ROUND(AC22,0)&amp;" kcal  |  P "&amp;ROUND(AD22,0)&amp;" g  |  C "&amp;ROUND(AE22,0)&amp;" g  |  G "&amp;ROUND(AF22,0)&amp;" g"</f>
        <v>INGESTA: 2144 kcal  |  P 128 g  |  C 280 g  |  G 55 g</v>
      </c>
      <c r="AC22" s="71">
        <f>SUM(AC17:AC21)</f>
        <v>2144</v>
      </c>
      <c r="AD22" s="72">
        <f>SUM(AD17:AD21)</f>
        <v>128</v>
      </c>
      <c r="AE22" s="73">
        <f>SUM(AE17:AE21)</f>
        <v>280</v>
      </c>
      <c r="AF22" s="74">
        <f>SUM(AF17:AF21)</f>
        <v>55</v>
      </c>
      <c r="AG22" s="70" t="str">
        <f>"INGESTA: "&amp;ROUND(AH22,0)&amp;" kcal  |  P "&amp;ROUND(AI22,0)&amp;" g  |  C "&amp;ROUND(AJ22,0)&amp;" g  |  G "&amp;ROUND(AK22,0)&amp;" g"</f>
        <v>INGESTA: 1942 kcal  |  P 137 g  |  C 220 g  |  G 53 g</v>
      </c>
      <c r="AH22" s="71">
        <f>SUM(AH17:AH21)</f>
        <v>1942</v>
      </c>
      <c r="AI22" s="72">
        <f>SUM(AI17:AI21)</f>
        <v>137</v>
      </c>
      <c r="AJ22" s="73">
        <f>SUM(AJ17:AJ21)</f>
        <v>220</v>
      </c>
      <c r="AK22" s="74">
        <f>SUM(AK17:AK21)</f>
        <v>53</v>
      </c>
    </row>
    <row r="23" spans="2:37" ht="25.95" customHeight="1" x14ac:dyDescent="0.3">
      <c r="B23" s="75" t="s">
        <v>65</v>
      </c>
      <c r="C23" s="76" t="str">
        <f>"OBJETIVO: "&amp;ROUND(VLOOKUP(C$15,$B$8:$J$11,2,FALSE),0)&amp;"-"&amp;ROUND(VLOOKUP(C$15,$B$8:$J$11,3,FALSE),0)&amp;" kcal | P "&amp;VLOOKUP(C$15,$B$8:$J$11,4,FALSE)&amp;"-"&amp;VLOOKUP(C$15,$B$8:$J$11,5,FALSE)&amp;" | C "&amp;VLOOKUP(C$15,$B$8:$J$11,6,FALSE)&amp;"-"&amp;VLOOKUP(C$15,$B$8:$J$11,7,FALSE)&amp;" | G "&amp;VLOOKUP(C$15,$B$8:$J$11,8,FALSE)&amp;"-"&amp;VLOOKUP(C$15,$B$8:$J$11,9,FALSE)</f>
        <v>OBJETIVO: 2500-2800 kcal | P 145-155 | C 330-400 | G 60-75</v>
      </c>
      <c r="D23" s="77">
        <f>(VLOOKUP(C$15,$B$8:$J$11,2,FALSE)+VLOOKUP(C$15,$B$8:$J$11,3,FALSE))/2</f>
        <v>2650</v>
      </c>
      <c r="E23" s="78">
        <f>(VLOOKUP(C$15,$B$8:$J$11,4,FALSE)+VLOOKUP(C$15,$B$8:$J$11,5,FALSE))/2</f>
        <v>150</v>
      </c>
      <c r="F23" s="79">
        <f>(VLOOKUP(C$15,$B$8:$J$11,6,FALSE)+VLOOKUP(C$15,$B$8:$J$11,7,FALSE))/2</f>
        <v>365</v>
      </c>
      <c r="G23" s="80">
        <f>(VLOOKUP(C$15,$B$8:$J$11,8,FALSE)+VLOOKUP(C$15,$B$8:$J$11,9,FALSE))/2</f>
        <v>67.5</v>
      </c>
      <c r="H23" s="76" t="str">
        <f>"OBJETIVO: "&amp;ROUND(VLOOKUP(H$15,$B$8:$J$11,2,FALSE),0)&amp;"-"&amp;ROUND(VLOOKUP(H$15,$B$8:$J$11,3,FALSE),0)&amp;" kcal | P "&amp;VLOOKUP(H$15,$B$8:$J$11,4,FALSE)&amp;"-"&amp;VLOOKUP(H$15,$B$8:$J$11,5,FALSE)&amp;" | C "&amp;VLOOKUP(H$15,$B$8:$J$11,6,FALSE)&amp;"-"&amp;VLOOKUP(H$15,$B$8:$J$11,7,FALSE)&amp;" | G "&amp;VLOOKUP(H$15,$B$8:$J$11,8,FALSE)&amp;"-"&amp;VLOOKUP(H$15,$B$8:$J$11,9,FALSE)</f>
        <v>OBJETIVO: 2400-2600 kcal | P 145-155 | C 280-350 | G 60-75</v>
      </c>
      <c r="I23" s="77">
        <f>(VLOOKUP(H$15,$B$8:$J$11,2,FALSE)+VLOOKUP(H$15,$B$8:$J$11,3,FALSE))/2</f>
        <v>2500</v>
      </c>
      <c r="J23" s="78">
        <f>(VLOOKUP(H$15,$B$8:$J$11,4,FALSE)+VLOOKUP(H$15,$B$8:$J$11,5,FALSE))/2</f>
        <v>150</v>
      </c>
      <c r="K23" s="79">
        <f>(VLOOKUP(H$15,$B$8:$J$11,6,FALSE)+VLOOKUP(H$15,$B$8:$J$11,7,FALSE))/2</f>
        <v>315</v>
      </c>
      <c r="L23" s="80">
        <f>(VLOOKUP(H$15,$B$8:$J$11,8,FALSE)+VLOOKUP(H$15,$B$8:$J$11,9,FALSE))/2</f>
        <v>67.5</v>
      </c>
      <c r="M23" s="76" t="str">
        <f>"OBJETIVO: "&amp;ROUND(VLOOKUP(M$15,$B$8:$J$11,2,FALSE),0)&amp;"-"&amp;ROUND(VLOOKUP(M$15,$B$8:$J$11,3,FALSE),0)&amp;" kcal | P "&amp;VLOOKUP(M$15,$B$8:$J$11,4,FALSE)&amp;"-"&amp;VLOOKUP(M$15,$B$8:$J$11,5,FALSE)&amp;" | C "&amp;VLOOKUP(M$15,$B$8:$J$11,6,FALSE)&amp;"-"&amp;VLOOKUP(M$15,$B$8:$J$11,7,FALSE)&amp;" | G "&amp;VLOOKUP(M$15,$B$8:$J$11,8,FALSE)&amp;"-"&amp;VLOOKUP(M$15,$B$8:$J$11,9,FALSE)</f>
        <v>OBJETIVO: 2400-2600 kcal | P 145-155 | C 280-350 | G 60-75</v>
      </c>
      <c r="N23" s="77">
        <f>(VLOOKUP(M$15,$B$8:$J$11,2,FALSE)+VLOOKUP(M$15,$B$8:$J$11,3,FALSE))/2</f>
        <v>2500</v>
      </c>
      <c r="O23" s="78">
        <f>(VLOOKUP(M$15,$B$8:$J$11,4,FALSE)+VLOOKUP(M$15,$B$8:$J$11,5,FALSE))/2</f>
        <v>150</v>
      </c>
      <c r="P23" s="79">
        <f>(VLOOKUP(M$15,$B$8:$J$11,6,FALSE)+VLOOKUP(M$15,$B$8:$J$11,7,FALSE))/2</f>
        <v>315</v>
      </c>
      <c r="Q23" s="80">
        <f>(VLOOKUP(M$15,$B$8:$J$11,8,FALSE)+VLOOKUP(M$15,$B$8:$J$11,9,FALSE))/2</f>
        <v>67.5</v>
      </c>
      <c r="R23" s="76" t="str">
        <f>"OBJETIVO: "&amp;ROUND(VLOOKUP(R$15,$B$8:$J$11,2,FALSE),0)&amp;"-"&amp;ROUND(VLOOKUP(R$15,$B$8:$J$11,3,FALSE),0)&amp;" kcal | P "&amp;VLOOKUP(R$15,$B$8:$J$11,4,FALSE)&amp;"-"&amp;VLOOKUP(R$15,$B$8:$J$11,5,FALSE)&amp;" | C "&amp;VLOOKUP(R$15,$B$8:$J$11,6,FALSE)&amp;"-"&amp;VLOOKUP(R$15,$B$8:$J$11,7,FALSE)&amp;" | G "&amp;VLOOKUP(R$15,$B$8:$J$11,8,FALSE)&amp;"-"&amp;VLOOKUP(R$15,$B$8:$J$11,9,FALSE)</f>
        <v>OBJETIVO: 2400-2600 kcal | P 145-155 | C 280-350 | G 60-75</v>
      </c>
      <c r="S23" s="77">
        <f>(VLOOKUP(R$15,$B$8:$J$11,2,FALSE)+VLOOKUP(R$15,$B$8:$J$11,3,FALSE))/2</f>
        <v>2500</v>
      </c>
      <c r="T23" s="78">
        <f>(VLOOKUP(R$15,$B$8:$J$11,4,FALSE)+VLOOKUP(R$15,$B$8:$J$11,5,FALSE))/2</f>
        <v>150</v>
      </c>
      <c r="U23" s="79">
        <f>(VLOOKUP(R$15,$B$8:$J$11,6,FALSE)+VLOOKUP(R$15,$B$8:$J$11,7,FALSE))/2</f>
        <v>315</v>
      </c>
      <c r="V23" s="80">
        <f>(VLOOKUP(R$15,$B$8:$J$11,8,FALSE)+VLOOKUP(R$15,$B$8:$J$11,9,FALSE))/2</f>
        <v>67.5</v>
      </c>
      <c r="W23" s="76" t="str">
        <f>"OBJETIVO: "&amp;ROUND(VLOOKUP(W$15,$B$8:$J$11,2,FALSE),0)&amp;"-"&amp;ROUND(VLOOKUP(W$15,$B$8:$J$11,3,FALSE),0)&amp;" kcal | P "&amp;VLOOKUP(W$15,$B$8:$J$11,4,FALSE)&amp;"-"&amp;VLOOKUP(W$15,$B$8:$J$11,5,FALSE)&amp;" | C "&amp;VLOOKUP(W$15,$B$8:$J$11,6,FALSE)&amp;"-"&amp;VLOOKUP(W$15,$B$8:$J$11,7,FALSE)&amp;" | G "&amp;VLOOKUP(W$15,$B$8:$J$11,8,FALSE)&amp;"-"&amp;VLOOKUP(W$15,$B$8:$J$11,9,FALSE)</f>
        <v>OBJETIVO: 2200-2400 kcal | P 145-155 | C 220-280 | G 65-80</v>
      </c>
      <c r="X23" s="77">
        <f>(VLOOKUP(W$15,$B$8:$J$11,2,FALSE)+VLOOKUP(W$15,$B$8:$J$11,3,FALSE))/2</f>
        <v>2300</v>
      </c>
      <c r="Y23" s="78">
        <f>(VLOOKUP(W$15,$B$8:$J$11,4,FALSE)+VLOOKUP(W$15,$B$8:$J$11,5,FALSE))/2</f>
        <v>150</v>
      </c>
      <c r="Z23" s="79">
        <f>(VLOOKUP(W$15,$B$8:$J$11,6,FALSE)+VLOOKUP(W$15,$B$8:$J$11,7,FALSE))/2</f>
        <v>250</v>
      </c>
      <c r="AA23" s="80">
        <f>(VLOOKUP(W$15,$B$8:$J$11,8,FALSE)+VLOOKUP(W$15,$B$8:$J$11,9,FALSE))/2</f>
        <v>72.5</v>
      </c>
      <c r="AB23" s="76" t="str">
        <f>"OBJETIVO: "&amp;ROUND(VLOOKUP(AB$15,$B$8:$J$11,2,FALSE),0)&amp;"-"&amp;ROUND(VLOOKUP(AB$15,$B$8:$J$11,3,FALSE),0)&amp;" kcal | P "&amp;VLOOKUP(AB$15,$B$8:$J$11,4,FALSE)&amp;"-"&amp;VLOOKUP(AB$15,$B$8:$J$11,5,FALSE)&amp;" | C "&amp;VLOOKUP(AB$15,$B$8:$J$11,6,FALSE)&amp;"-"&amp;VLOOKUP(AB$15,$B$8:$J$11,7,FALSE)&amp;" | G "&amp;VLOOKUP(AB$15,$B$8:$J$11,8,FALSE)&amp;"-"&amp;VLOOKUP(AB$15,$B$8:$J$11,9,FALSE)</f>
        <v>OBJETIVO: 2400-2600 kcal | P 145-155 | C 280-350 | G 60-75</v>
      </c>
      <c r="AC23" s="77">
        <f>(VLOOKUP(AB$15,$B$8:$J$11,2,FALSE)+VLOOKUP(AB$15,$B$8:$J$11,3,FALSE))/2</f>
        <v>2500</v>
      </c>
      <c r="AD23" s="78">
        <f>(VLOOKUP(AB$15,$B$8:$J$11,4,FALSE)+VLOOKUP(AB$15,$B$8:$J$11,5,FALSE))/2</f>
        <v>150</v>
      </c>
      <c r="AE23" s="79">
        <f>(VLOOKUP(AB$15,$B$8:$J$11,6,FALSE)+VLOOKUP(AB$15,$B$8:$J$11,7,FALSE))/2</f>
        <v>315</v>
      </c>
      <c r="AF23" s="80">
        <f>(VLOOKUP(AB$15,$B$8:$J$11,8,FALSE)+VLOOKUP(AB$15,$B$8:$J$11,9,FALSE))/2</f>
        <v>67.5</v>
      </c>
      <c r="AG23" s="76" t="str">
        <f>"OBJETIVO: "&amp;ROUND(VLOOKUP(AG$15,$B$8:$J$11,2,FALSE),0)&amp;"-"&amp;ROUND(VLOOKUP(AG$15,$B$8:$J$11,3,FALSE),0)&amp;" kcal | P "&amp;VLOOKUP(AG$15,$B$8:$J$11,4,FALSE)&amp;"-"&amp;VLOOKUP(AG$15,$B$8:$J$11,5,FALSE)&amp;" | C "&amp;VLOOKUP(AG$15,$B$8:$J$11,6,FALSE)&amp;"-"&amp;VLOOKUP(AG$15,$B$8:$J$11,7,FALSE)&amp;" | G "&amp;VLOOKUP(AG$15,$B$8:$J$11,8,FALSE)&amp;"-"&amp;VLOOKUP(AG$15,$B$8:$J$11,9,FALSE)</f>
        <v>OBJETIVO: 2200-2400 kcal | P 145-155 | C 220-280 | G 65-80</v>
      </c>
      <c r="AH23" s="77">
        <f>(VLOOKUP(AG$15,$B$8:$J$11,2,FALSE)+VLOOKUP(AG$15,$B$8:$J$11,3,FALSE))/2</f>
        <v>2300</v>
      </c>
      <c r="AI23" s="78">
        <f>(VLOOKUP(AG$15,$B$8:$J$11,4,FALSE)+VLOOKUP(AG$15,$B$8:$J$11,5,FALSE))/2</f>
        <v>150</v>
      </c>
      <c r="AJ23" s="79">
        <f>(VLOOKUP(AG$15,$B$8:$J$11,6,FALSE)+VLOOKUP(AG$15,$B$8:$J$11,7,FALSE))/2</f>
        <v>250</v>
      </c>
      <c r="AK23" s="80">
        <f>(VLOOKUP(AG$15,$B$8:$J$11,8,FALSE)+VLOOKUP(AG$15,$B$8:$J$11,9,FALSE))/2</f>
        <v>72.5</v>
      </c>
    </row>
    <row r="24" spans="2:37" ht="19.95" customHeight="1" x14ac:dyDescent="0.3">
      <c r="B24" s="75" t="s">
        <v>66</v>
      </c>
      <c r="C24" s="81" t="s">
        <v>67</v>
      </c>
      <c r="D24" s="82">
        <f>D22-D23</f>
        <v>-189</v>
      </c>
      <c r="E24" s="83">
        <f>E22-E23</f>
        <v>-7</v>
      </c>
      <c r="F24" s="84">
        <f>F22-F23</f>
        <v>-35</v>
      </c>
      <c r="G24" s="85">
        <f>G22-G23</f>
        <v>-9.5</v>
      </c>
      <c r="H24" s="81" t="s">
        <v>67</v>
      </c>
      <c r="I24" s="82">
        <f>I22-I23</f>
        <v>-183</v>
      </c>
      <c r="J24" s="83">
        <f>J22-J23</f>
        <v>3</v>
      </c>
      <c r="K24" s="84">
        <f>K22-K23</f>
        <v>-35</v>
      </c>
      <c r="L24" s="85">
        <f>L22-L23</f>
        <v>-7.5</v>
      </c>
      <c r="M24" s="81" t="s">
        <v>67</v>
      </c>
      <c r="N24" s="82">
        <f>N22-N23</f>
        <v>-261</v>
      </c>
      <c r="O24" s="83">
        <f>O22-O23</f>
        <v>-10</v>
      </c>
      <c r="P24" s="84">
        <f>P22-P23</f>
        <v>-35</v>
      </c>
      <c r="Q24" s="85">
        <f>Q22-Q23</f>
        <v>-10.5</v>
      </c>
      <c r="R24" s="81" t="s">
        <v>67</v>
      </c>
      <c r="S24" s="82">
        <f>S22-S23</f>
        <v>-137</v>
      </c>
      <c r="T24" s="83">
        <f>T22-T23</f>
        <v>1</v>
      </c>
      <c r="U24" s="84">
        <f>U22-U23</f>
        <v>-35</v>
      </c>
      <c r="V24" s="85">
        <f>V22-V23</f>
        <v>-2.5</v>
      </c>
      <c r="W24" s="81" t="s">
        <v>67</v>
      </c>
      <c r="X24" s="82">
        <f>X22-X23</f>
        <v>-214</v>
      </c>
      <c r="Y24" s="83">
        <f>Y22-Y23</f>
        <v>-11</v>
      </c>
      <c r="Z24" s="84">
        <f>Z22-Z23</f>
        <v>-30</v>
      </c>
      <c r="AA24" s="85">
        <f>AA22-AA23</f>
        <v>-3.5</v>
      </c>
      <c r="AB24" s="81" t="s">
        <v>67</v>
      </c>
      <c r="AC24" s="82">
        <f>AC22-AC23</f>
        <v>-356</v>
      </c>
      <c r="AD24" s="83">
        <f>AD22-AD23</f>
        <v>-22</v>
      </c>
      <c r="AE24" s="84">
        <f>AE22-AE23</f>
        <v>-35</v>
      </c>
      <c r="AF24" s="85">
        <f>AF22-AF23</f>
        <v>-12.5</v>
      </c>
      <c r="AG24" s="81" t="s">
        <v>67</v>
      </c>
      <c r="AH24" s="82">
        <f>AH22-AH23</f>
        <v>-358</v>
      </c>
      <c r="AI24" s="83">
        <f>AI22-AI23</f>
        <v>-13</v>
      </c>
      <c r="AJ24" s="84">
        <f>AJ22-AJ23</f>
        <v>-30</v>
      </c>
      <c r="AK24" s="85">
        <f>AK22-AK23</f>
        <v>-19.5</v>
      </c>
    </row>
    <row r="25" spans="2:37" ht="19.95" customHeight="1" x14ac:dyDescent="0.3">
      <c r="B25" s="75" t="s">
        <v>68</v>
      </c>
      <c r="C25" s="81" t="s">
        <v>69</v>
      </c>
      <c r="D25" s="86" t="str">
        <f>IF(AND(D22&gt;=VLOOKUP(C$15,$B$8:$J$11,2,FALSE),D22&lt;=VLOOKUP(C$15,$B$8:$J$11,3,FALSE)),"OK",IF(AND(D22&gt;=VLOOKUP(C$15,$B$8:$J$11,2,FALSE)*0.92,D22&lt;=VLOOKUP(C$15,$B$8:$J$11,3,FALSE)*1.08),"LEVE","ALTA"))</f>
        <v>LEVE</v>
      </c>
      <c r="E25" s="86" t="str">
        <f>IF(AND(E22&gt;=VLOOKUP(C$15,$B$8:$J$11,4,FALSE),E22&lt;=VLOOKUP(C$15,$B$8:$J$11,5,FALSE)),"OK",IF(AND(E22&gt;=VLOOKUP(C$15,$B$8:$J$11,4,FALSE)*0.92,E22&lt;=VLOOKUP(C$15,$B$8:$J$11,5,FALSE)*1.08),"LEVE","ALTA"))</f>
        <v>LEVE</v>
      </c>
      <c r="F25" s="87" t="str">
        <f>IF(AND(F22&gt;=VLOOKUP(C$15,$B$8:$J$11,6,FALSE),F22&lt;=VLOOKUP(C$15,$B$8:$J$11,7,FALSE)),"OK",IF(AND(F22&gt;=VLOOKUP(C$15,$B$8:$J$11,6,FALSE)*0.92,F22&lt;=VLOOKUP(C$15,$B$8:$J$11,7,FALSE)*1.08),"LEVE","ALTA"))</f>
        <v>OK</v>
      </c>
      <c r="G25" s="88" t="str">
        <f>IF(AND(G22&gt;=VLOOKUP(C$15,$B$8:$J$11,8,FALSE),G22&lt;=VLOOKUP(C$15,$B$8:$J$11,9,FALSE)),"OK",IF(AND(G22&gt;=VLOOKUP(C$15,$B$8:$J$11,8,FALSE)*0.92,G22&lt;=VLOOKUP(C$15,$B$8:$J$11,9,FALSE)*1.08),"LEVE","ALTA"))</f>
        <v>LEVE</v>
      </c>
      <c r="H25" s="81" t="s">
        <v>69</v>
      </c>
      <c r="I25" s="86" t="str">
        <f>IF(AND(I22&gt;=VLOOKUP(H$15,$B$8:$J$11,2,FALSE),I22&lt;=VLOOKUP(H$15,$B$8:$J$11,3,FALSE)),"OK",IF(AND(I22&gt;=VLOOKUP(H$15,$B$8:$J$11,2,FALSE)*0.92,I22&lt;=VLOOKUP(H$15,$B$8:$J$11,3,FALSE)*1.08),"LEVE","ALTA"))</f>
        <v>LEVE</v>
      </c>
      <c r="J25" s="86" t="str">
        <f>IF(AND(J22&gt;=VLOOKUP(H$15,$B$8:$J$11,4,FALSE),J22&lt;=VLOOKUP(H$15,$B$8:$J$11,5,FALSE)),"OK",IF(AND(J22&gt;=VLOOKUP(H$15,$B$8:$J$11,4,FALSE)*0.92,J22&lt;=VLOOKUP(H$15,$B$8:$J$11,5,FALSE)*1.08),"LEVE","ALTA"))</f>
        <v>OK</v>
      </c>
      <c r="K25" s="87" t="str">
        <f>IF(AND(K22&gt;=VLOOKUP(H$15,$B$8:$J$11,6,FALSE),K22&lt;=VLOOKUP(H$15,$B$8:$J$11,7,FALSE)),"OK",IF(AND(K22&gt;=VLOOKUP(H$15,$B$8:$J$11,6,FALSE)*0.92,K22&lt;=VLOOKUP(H$15,$B$8:$J$11,7,FALSE)*1.08),"LEVE","ALTA"))</f>
        <v>OK</v>
      </c>
      <c r="L25" s="88" t="str">
        <f>IF(AND(L22&gt;=VLOOKUP(H$15,$B$8:$J$11,8,FALSE),L22&lt;=VLOOKUP(H$15,$B$8:$J$11,9,FALSE)),"OK",IF(AND(L22&gt;=VLOOKUP(H$15,$B$8:$J$11,8,FALSE)*0.92,L22&lt;=VLOOKUP(H$15,$B$8:$J$11,9,FALSE)*1.08),"LEVE","ALTA"))</f>
        <v>OK</v>
      </c>
      <c r="M25" s="81" t="s">
        <v>69</v>
      </c>
      <c r="N25" s="86" t="str">
        <f>IF(AND(N22&gt;=VLOOKUP(M$15,$B$8:$J$11,2,FALSE),N22&lt;=VLOOKUP(M$15,$B$8:$J$11,3,FALSE)),"OK",IF(AND(N22&gt;=VLOOKUP(M$15,$B$8:$J$11,2,FALSE)*0.92,N22&lt;=VLOOKUP(M$15,$B$8:$J$11,3,FALSE)*1.08),"LEVE","ALTA"))</f>
        <v>LEVE</v>
      </c>
      <c r="O25" s="86" t="str">
        <f>IF(AND(O22&gt;=VLOOKUP(M$15,$B$8:$J$11,4,FALSE),O22&lt;=VLOOKUP(M$15,$B$8:$J$11,5,FALSE)),"OK",IF(AND(O22&gt;=VLOOKUP(M$15,$B$8:$J$11,4,FALSE)*0.92,O22&lt;=VLOOKUP(M$15,$B$8:$J$11,5,FALSE)*1.08),"LEVE","ALTA"))</f>
        <v>LEVE</v>
      </c>
      <c r="P25" s="87" t="str">
        <f>IF(AND(P22&gt;=VLOOKUP(M$15,$B$8:$J$11,6,FALSE),P22&lt;=VLOOKUP(M$15,$B$8:$J$11,7,FALSE)),"OK",IF(AND(P22&gt;=VLOOKUP(M$15,$B$8:$J$11,6,FALSE)*0.92,P22&lt;=VLOOKUP(M$15,$B$8:$J$11,7,FALSE)*1.08),"LEVE","ALTA"))</f>
        <v>OK</v>
      </c>
      <c r="Q25" s="88" t="str">
        <f>IF(AND(Q22&gt;=VLOOKUP(M$15,$B$8:$J$11,8,FALSE),Q22&lt;=VLOOKUP(M$15,$B$8:$J$11,9,FALSE)),"OK",IF(AND(Q22&gt;=VLOOKUP(M$15,$B$8:$J$11,8,FALSE)*0.92,Q22&lt;=VLOOKUP(M$15,$B$8:$J$11,9,FALSE)*1.08),"LEVE","ALTA"))</f>
        <v>LEVE</v>
      </c>
      <c r="R25" s="81" t="s">
        <v>69</v>
      </c>
      <c r="S25" s="86" t="str">
        <f>IF(AND(S22&gt;=VLOOKUP(R$15,$B$8:$J$11,2,FALSE),S22&lt;=VLOOKUP(R$15,$B$8:$J$11,3,FALSE)),"OK",IF(AND(S22&gt;=VLOOKUP(R$15,$B$8:$J$11,2,FALSE)*0.92,S22&lt;=VLOOKUP(R$15,$B$8:$J$11,3,FALSE)*1.08),"LEVE","ALTA"))</f>
        <v>LEVE</v>
      </c>
      <c r="T25" s="86" t="str">
        <f>IF(AND(T22&gt;=VLOOKUP(R$15,$B$8:$J$11,4,FALSE),T22&lt;=VLOOKUP(R$15,$B$8:$J$11,5,FALSE)),"OK",IF(AND(T22&gt;=VLOOKUP(R$15,$B$8:$J$11,4,FALSE)*0.92,T22&lt;=VLOOKUP(R$15,$B$8:$J$11,5,FALSE)*1.08),"LEVE","ALTA"))</f>
        <v>OK</v>
      </c>
      <c r="U25" s="87" t="str">
        <f>IF(AND(U22&gt;=VLOOKUP(R$15,$B$8:$J$11,6,FALSE),U22&lt;=VLOOKUP(R$15,$B$8:$J$11,7,FALSE)),"OK",IF(AND(U22&gt;=VLOOKUP(R$15,$B$8:$J$11,6,FALSE)*0.92,U22&lt;=VLOOKUP(R$15,$B$8:$J$11,7,FALSE)*1.08),"LEVE","ALTA"))</f>
        <v>OK</v>
      </c>
      <c r="V25" s="88" t="str">
        <f>IF(AND(V22&gt;=VLOOKUP(R$15,$B$8:$J$11,8,FALSE),V22&lt;=VLOOKUP(R$15,$B$8:$J$11,9,FALSE)),"OK",IF(AND(V22&gt;=VLOOKUP(R$15,$B$8:$J$11,8,FALSE)*0.92,V22&lt;=VLOOKUP(R$15,$B$8:$J$11,9,FALSE)*1.08),"LEVE","ALTA"))</f>
        <v>OK</v>
      </c>
      <c r="W25" s="81" t="s">
        <v>69</v>
      </c>
      <c r="X25" s="86" t="str">
        <f>IF(AND(X22&gt;=VLOOKUP(W$15,$B$8:$J$11,2,FALSE),X22&lt;=VLOOKUP(W$15,$B$8:$J$11,3,FALSE)),"OK",IF(AND(X22&gt;=VLOOKUP(W$15,$B$8:$J$11,2,FALSE)*0.92,X22&lt;=VLOOKUP(W$15,$B$8:$J$11,3,FALSE)*1.08),"LEVE","ALTA"))</f>
        <v>LEVE</v>
      </c>
      <c r="Y25" s="86" t="str">
        <f>IF(AND(Y22&gt;=VLOOKUP(W$15,$B$8:$J$11,4,FALSE),Y22&lt;=VLOOKUP(W$15,$B$8:$J$11,5,FALSE)),"OK",IF(AND(Y22&gt;=VLOOKUP(W$15,$B$8:$J$11,4,FALSE)*0.92,Y22&lt;=VLOOKUP(W$15,$B$8:$J$11,5,FALSE)*1.08),"LEVE","ALTA"))</f>
        <v>LEVE</v>
      </c>
      <c r="Z25" s="87" t="str">
        <f>IF(AND(Z22&gt;=VLOOKUP(W$15,$B$8:$J$11,6,FALSE),Z22&lt;=VLOOKUP(W$15,$B$8:$J$11,7,FALSE)),"OK",IF(AND(Z22&gt;=VLOOKUP(W$15,$B$8:$J$11,6,FALSE)*0.92,Z22&lt;=VLOOKUP(W$15,$B$8:$J$11,7,FALSE)*1.08),"LEVE","ALTA"))</f>
        <v>OK</v>
      </c>
      <c r="AA25" s="88" t="str">
        <f>IF(AND(AA22&gt;=VLOOKUP(W$15,$B$8:$J$11,8,FALSE),AA22&lt;=VLOOKUP(W$15,$B$8:$J$11,9,FALSE)),"OK",IF(AND(AA22&gt;=VLOOKUP(W$15,$B$8:$J$11,8,FALSE)*0.92,AA22&lt;=VLOOKUP(W$15,$B$8:$J$11,9,FALSE)*1.08),"LEVE","ALTA"))</f>
        <v>OK</v>
      </c>
      <c r="AB25" s="81" t="s">
        <v>69</v>
      </c>
      <c r="AC25" s="86" t="str">
        <f>IF(AND(AC22&gt;=VLOOKUP(AB$15,$B$8:$J$11,2,FALSE),AC22&lt;=VLOOKUP(AB$15,$B$8:$J$11,3,FALSE)),"OK",IF(AND(AC22&gt;=VLOOKUP(AB$15,$B$8:$J$11,2,FALSE)*0.92,AC22&lt;=VLOOKUP(AB$15,$B$8:$J$11,3,FALSE)*1.08),"LEVE","ALTA"))</f>
        <v>ALTA</v>
      </c>
      <c r="AD25" s="86" t="str">
        <f>IF(AND(AD22&gt;=VLOOKUP(AB$15,$B$8:$J$11,4,FALSE),AD22&lt;=VLOOKUP(AB$15,$B$8:$J$11,5,FALSE)),"OK",IF(AND(AD22&gt;=VLOOKUP(AB$15,$B$8:$J$11,4,FALSE)*0.92,AD22&lt;=VLOOKUP(AB$15,$B$8:$J$11,5,FALSE)*1.08),"LEVE","ALTA"))</f>
        <v>ALTA</v>
      </c>
      <c r="AE25" s="87" t="str">
        <f>IF(AND(AE22&gt;=VLOOKUP(AB$15,$B$8:$J$11,6,FALSE),AE22&lt;=VLOOKUP(AB$15,$B$8:$J$11,7,FALSE)),"OK",IF(AND(AE22&gt;=VLOOKUP(AB$15,$B$8:$J$11,6,FALSE)*0.92,AE22&lt;=VLOOKUP(AB$15,$B$8:$J$11,7,FALSE)*1.08),"LEVE","ALTA"))</f>
        <v>OK</v>
      </c>
      <c r="AF25" s="88" t="str">
        <f>IF(AND(AF22&gt;=VLOOKUP(AB$15,$B$8:$J$11,8,FALSE),AF22&lt;=VLOOKUP(AB$15,$B$8:$J$11,9,FALSE)),"OK",IF(AND(AF22&gt;=VLOOKUP(AB$15,$B$8:$J$11,8,FALSE)*0.92,AF22&lt;=VLOOKUP(AB$15,$B$8:$J$11,9,FALSE)*1.08),"LEVE","ALTA"))</f>
        <v>ALTA</v>
      </c>
      <c r="AG25" s="81" t="s">
        <v>69</v>
      </c>
      <c r="AH25" s="86" t="str">
        <f>IF(AND(AH22&gt;=VLOOKUP(AG$15,$B$8:$J$11,2,FALSE),AH22&lt;=VLOOKUP(AG$15,$B$8:$J$11,3,FALSE)),"OK",IF(AND(AH22&gt;=VLOOKUP(AG$15,$B$8:$J$11,2,FALSE)*0.92,AH22&lt;=VLOOKUP(AG$15,$B$8:$J$11,3,FALSE)*1.08),"LEVE","ALTA"))</f>
        <v>ALTA</v>
      </c>
      <c r="AI25" s="86" t="str">
        <f>IF(AND(AI22&gt;=VLOOKUP(AG$15,$B$8:$J$11,4,FALSE),AI22&lt;=VLOOKUP(AG$15,$B$8:$J$11,5,FALSE)),"OK",IF(AND(AI22&gt;=VLOOKUP(AG$15,$B$8:$J$11,4,FALSE)*0.92,AI22&lt;=VLOOKUP(AG$15,$B$8:$J$11,5,FALSE)*1.08),"LEVE","ALTA"))</f>
        <v>LEVE</v>
      </c>
      <c r="AJ25" s="87" t="str">
        <f>IF(AND(AJ22&gt;=VLOOKUP(AG$15,$B$8:$J$11,6,FALSE),AJ22&lt;=VLOOKUP(AG$15,$B$8:$J$11,7,FALSE)),"OK",IF(AND(AJ22&gt;=VLOOKUP(AG$15,$B$8:$J$11,6,FALSE)*0.92,AJ22&lt;=VLOOKUP(AG$15,$B$8:$J$11,7,FALSE)*1.08),"LEVE","ALTA"))</f>
        <v>OK</v>
      </c>
      <c r="AK25" s="88" t="str">
        <f>IF(AND(AK22&gt;=VLOOKUP(AG$15,$B$8:$J$11,8,FALSE),AK22&lt;=VLOOKUP(AG$15,$B$8:$J$11,9,FALSE)),"OK",IF(AND(AK22&gt;=VLOOKUP(AG$15,$B$8:$J$11,8,FALSE)*0.92,AK22&lt;=VLOOKUP(AG$15,$B$8:$J$11,9,FALSE)*1.08),"LEVE","ALTA"))</f>
        <v>ALTA</v>
      </c>
    </row>
    <row r="26" spans="2:37" ht="15" thickBot="1" x14ac:dyDescent="0.35"/>
    <row r="27" spans="2:37" ht="15" thickBot="1" x14ac:dyDescent="0.35">
      <c r="B27" s="89" t="s">
        <v>70</v>
      </c>
      <c r="C27" s="90">
        <f>D22</f>
        <v>2461</v>
      </c>
      <c r="D27" s="91"/>
      <c r="E27" s="91"/>
      <c r="F27" s="91"/>
      <c r="G27" s="91"/>
      <c r="H27" s="92">
        <f>I22</f>
        <v>2317</v>
      </c>
      <c r="I27" s="91"/>
      <c r="J27" s="91"/>
      <c r="K27" s="91"/>
      <c r="L27" s="91"/>
      <c r="M27" s="92">
        <f>N22</f>
        <v>2239</v>
      </c>
      <c r="N27" s="91"/>
      <c r="O27" s="91"/>
      <c r="P27" s="91"/>
      <c r="Q27" s="91"/>
      <c r="R27" s="92">
        <f>S22</f>
        <v>2363</v>
      </c>
      <c r="S27" s="91"/>
      <c r="T27" s="91"/>
      <c r="U27" s="91"/>
      <c r="V27" s="91"/>
      <c r="W27" s="92">
        <f>X22</f>
        <v>2086</v>
      </c>
      <c r="X27" s="91"/>
      <c r="Y27" s="91"/>
      <c r="Z27" s="91"/>
      <c r="AA27" s="91"/>
      <c r="AB27" s="92">
        <f>AC22</f>
        <v>2144</v>
      </c>
      <c r="AC27" s="91"/>
      <c r="AD27" s="91"/>
      <c r="AE27" s="91"/>
      <c r="AF27" s="91"/>
      <c r="AG27" s="92">
        <f>AH22</f>
        <v>1942</v>
      </c>
      <c r="AH27" s="91"/>
      <c r="AI27" s="91"/>
      <c r="AJ27" s="91"/>
      <c r="AK27" s="93"/>
    </row>
    <row r="28" spans="2:37" ht="15" thickBot="1" x14ac:dyDescent="0.35">
      <c r="B28" s="94" t="s">
        <v>71</v>
      </c>
      <c r="C28" s="95"/>
      <c r="D28" s="96"/>
      <c r="E28" s="96"/>
      <c r="F28" s="96"/>
      <c r="G28" s="97"/>
      <c r="H28" s="95"/>
      <c r="I28" s="96"/>
      <c r="J28" s="96"/>
      <c r="K28" s="96"/>
      <c r="L28" s="97"/>
      <c r="M28" s="95"/>
      <c r="N28" s="96"/>
      <c r="O28" s="96"/>
      <c r="P28" s="96"/>
      <c r="Q28" s="96"/>
      <c r="R28" s="95"/>
      <c r="S28" s="96"/>
      <c r="T28" s="96"/>
      <c r="U28" s="96"/>
      <c r="V28" s="96"/>
      <c r="W28" s="95"/>
      <c r="X28" s="96"/>
      <c r="Y28" s="96"/>
      <c r="Z28" s="96"/>
      <c r="AA28" s="96"/>
      <c r="AB28" s="95"/>
      <c r="AC28" s="96"/>
      <c r="AD28" s="96"/>
      <c r="AE28" s="96"/>
      <c r="AF28" s="96"/>
      <c r="AG28" s="95"/>
      <c r="AH28" s="96"/>
      <c r="AI28" s="96"/>
      <c r="AJ28" s="96"/>
      <c r="AK28" s="97"/>
    </row>
    <row r="29" spans="2:37" ht="15" thickBot="1" x14ac:dyDescent="0.35">
      <c r="B29" s="94" t="s">
        <v>72</v>
      </c>
      <c r="C29" s="98">
        <f>$C$38</f>
        <v>1653</v>
      </c>
      <c r="D29" s="99"/>
      <c r="E29" s="99"/>
      <c r="F29" s="99"/>
      <c r="G29" s="99"/>
      <c r="H29" s="100">
        <f>$C$38</f>
        <v>1653</v>
      </c>
      <c r="I29" s="99"/>
      <c r="J29" s="99"/>
      <c r="K29" s="99"/>
      <c r="L29" s="99"/>
      <c r="M29" s="100">
        <f>$C$38</f>
        <v>1653</v>
      </c>
      <c r="N29" s="99"/>
      <c r="O29" s="99"/>
      <c r="P29" s="99"/>
      <c r="Q29" s="99"/>
      <c r="R29" s="100">
        <f>$C$38</f>
        <v>1653</v>
      </c>
      <c r="S29" s="99"/>
      <c r="T29" s="99"/>
      <c r="U29" s="99"/>
      <c r="V29" s="99"/>
      <c r="W29" s="100">
        <f>$C$38</f>
        <v>1653</v>
      </c>
      <c r="X29" s="99"/>
      <c r="Y29" s="99"/>
      <c r="Z29" s="99"/>
      <c r="AA29" s="99"/>
      <c r="AB29" s="100">
        <f>$C$38</f>
        <v>1653</v>
      </c>
      <c r="AC29" s="99"/>
      <c r="AD29" s="99"/>
      <c r="AE29" s="99"/>
      <c r="AF29" s="99"/>
      <c r="AG29" s="100">
        <f>$C$38</f>
        <v>1653</v>
      </c>
      <c r="AH29" s="99"/>
      <c r="AI29" s="99"/>
      <c r="AJ29" s="99"/>
      <c r="AK29" s="101"/>
    </row>
    <row r="30" spans="2:37" ht="28.2" thickBot="1" x14ac:dyDescent="0.35">
      <c r="B30" s="102" t="s">
        <v>73</v>
      </c>
      <c r="C30" s="103">
        <f>C27-(C29+N(C28))</f>
        <v>808</v>
      </c>
      <c r="D30" s="96"/>
      <c r="E30" s="96"/>
      <c r="F30" s="96"/>
      <c r="G30" s="96"/>
      <c r="H30" s="104">
        <f>H27-(H29+N(H28))</f>
        <v>664</v>
      </c>
      <c r="I30" s="96"/>
      <c r="J30" s="96"/>
      <c r="K30" s="96"/>
      <c r="L30" s="96"/>
      <c r="M30" s="104">
        <f>M27-(M29+N(M28))</f>
        <v>586</v>
      </c>
      <c r="N30" s="96"/>
      <c r="O30" s="96"/>
      <c r="P30" s="96"/>
      <c r="Q30" s="96"/>
      <c r="R30" s="104">
        <f>R27-(R29+N(R28))</f>
        <v>710</v>
      </c>
      <c r="S30" s="96"/>
      <c r="T30" s="96"/>
      <c r="U30" s="96"/>
      <c r="V30" s="96"/>
      <c r="W30" s="104">
        <f>W27-(W29+N(W28))</f>
        <v>433</v>
      </c>
      <c r="X30" s="96"/>
      <c r="Y30" s="96"/>
      <c r="Z30" s="96"/>
      <c r="AA30" s="96"/>
      <c r="AB30" s="104">
        <f>AB27-(AB29+N(AB28))</f>
        <v>491</v>
      </c>
      <c r="AC30" s="96"/>
      <c r="AD30" s="96"/>
      <c r="AE30" s="96"/>
      <c r="AF30" s="96"/>
      <c r="AG30" s="104">
        <f>AG27-(AG29+N(AG28))</f>
        <v>289</v>
      </c>
      <c r="AH30" s="96"/>
      <c r="AI30" s="96"/>
      <c r="AJ30" s="96"/>
      <c r="AK30" s="97"/>
    </row>
    <row r="33" spans="2:37" ht="129.6" customHeight="1" x14ac:dyDescent="0.3">
      <c r="B33" s="105" t="s">
        <v>74</v>
      </c>
      <c r="C33" s="106" t="s">
        <v>75</v>
      </c>
      <c r="D33" s="107"/>
      <c r="E33" s="107"/>
      <c r="F33" s="107"/>
      <c r="G33" s="107"/>
      <c r="H33" s="107"/>
    </row>
    <row r="35" spans="2:37" ht="15.6" x14ac:dyDescent="0.3">
      <c r="B35" s="108" t="s">
        <v>76</v>
      </c>
    </row>
    <row r="36" spans="2:37" x14ac:dyDescent="0.3">
      <c r="B36" s="13" t="s">
        <v>77</v>
      </c>
      <c r="C36" s="109" t="str">
        <f>[1]simon!H2</f>
        <v>160g prot /250-300g carbo/60-70g grasa</v>
      </c>
    </row>
    <row r="37" spans="2:37" x14ac:dyDescent="0.3">
      <c r="B37" s="13" t="s">
        <v>78</v>
      </c>
      <c r="C37" s="109" t="str">
        <f>[1]simon!H3</f>
        <v>2000-2300 kcal</v>
      </c>
    </row>
    <row r="38" spans="2:37" x14ac:dyDescent="0.3">
      <c r="B38" s="13" t="s">
        <v>79</v>
      </c>
      <c r="C38" s="110">
        <v>1653</v>
      </c>
    </row>
    <row r="39" spans="2:37" ht="85.2" customHeight="1" x14ac:dyDescent="0.3">
      <c r="B39" s="111" t="s">
        <v>80</v>
      </c>
    </row>
    <row r="41" spans="2:37" x14ac:dyDescent="0.3">
      <c r="B41" s="112" t="s">
        <v>81</v>
      </c>
      <c r="C41" s="113"/>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row>
    <row r="42" spans="2:37" x14ac:dyDescent="0.3">
      <c r="B42" s="114" t="s">
        <v>82</v>
      </c>
      <c r="C42" s="115" t="s">
        <v>83</v>
      </c>
      <c r="D42" s="114" t="s">
        <v>37</v>
      </c>
      <c r="E42" s="114" t="s">
        <v>38</v>
      </c>
      <c r="F42" s="114" t="s">
        <v>39</v>
      </c>
      <c r="G42" s="114" t="s">
        <v>40</v>
      </c>
      <c r="H42" s="115" t="s">
        <v>83</v>
      </c>
      <c r="I42" s="114" t="s">
        <v>37</v>
      </c>
      <c r="J42" s="114" t="s">
        <v>38</v>
      </c>
      <c r="K42" s="114" t="s">
        <v>39</v>
      </c>
      <c r="L42" s="114" t="s">
        <v>40</v>
      </c>
      <c r="M42" s="115" t="s">
        <v>83</v>
      </c>
      <c r="N42" s="114" t="s">
        <v>37</v>
      </c>
      <c r="O42" s="114" t="s">
        <v>38</v>
      </c>
      <c r="P42" s="114" t="s">
        <v>39</v>
      </c>
      <c r="Q42" s="114" t="s">
        <v>40</v>
      </c>
      <c r="R42" s="115" t="s">
        <v>83</v>
      </c>
      <c r="S42" s="114" t="s">
        <v>37</v>
      </c>
      <c r="T42" s="114" t="s">
        <v>38</v>
      </c>
      <c r="U42" s="114" t="s">
        <v>39</v>
      </c>
      <c r="V42" s="114" t="s">
        <v>40</v>
      </c>
      <c r="W42" s="115" t="s">
        <v>83</v>
      </c>
      <c r="X42" s="114" t="s">
        <v>37</v>
      </c>
      <c r="Y42" s="114" t="s">
        <v>38</v>
      </c>
      <c r="Z42" s="114" t="s">
        <v>39</v>
      </c>
      <c r="AA42" s="114" t="s">
        <v>40</v>
      </c>
      <c r="AB42" s="115" t="s">
        <v>83</v>
      </c>
      <c r="AC42" s="114" t="s">
        <v>37</v>
      </c>
      <c r="AD42" s="114" t="s">
        <v>38</v>
      </c>
      <c r="AE42" s="114" t="s">
        <v>39</v>
      </c>
      <c r="AF42" s="114" t="s">
        <v>40</v>
      </c>
      <c r="AG42" s="115" t="s">
        <v>83</v>
      </c>
      <c r="AH42" s="114" t="s">
        <v>37</v>
      </c>
      <c r="AI42" s="114" t="s">
        <v>38</v>
      </c>
      <c r="AJ42" s="114" t="s">
        <v>39</v>
      </c>
      <c r="AK42" s="114" t="s">
        <v>40</v>
      </c>
    </row>
    <row r="43" spans="2:37" x14ac:dyDescent="0.3">
      <c r="B43" s="116" t="s">
        <v>84</v>
      </c>
      <c r="C43" s="117" t="s">
        <v>85</v>
      </c>
      <c r="D43" s="118">
        <f>VLOOKUP($C43,$B$53:$F$56,2,FALSE)</f>
        <v>77</v>
      </c>
      <c r="E43" s="118">
        <f>VLOOKUP($C43,$B$53:$F$56,3,FALSE)</f>
        <v>2</v>
      </c>
      <c r="F43" s="118">
        <f>VLOOKUP($C43,$B$53:$F$56,4,FALSE)</f>
        <v>17</v>
      </c>
      <c r="G43" s="118">
        <f>VLOOKUP($C43,$B$53:$F$56,5,FALSE)</f>
        <v>0.1</v>
      </c>
      <c r="H43" s="117" t="s">
        <v>86</v>
      </c>
      <c r="I43" s="118">
        <f>VLOOKUP($H43,$B$53:$F$56,2,FALSE)</f>
        <v>76</v>
      </c>
      <c r="J43" s="118">
        <f>VLOOKUP($H43,$B$53:$F$56,3,FALSE)</f>
        <v>1.4</v>
      </c>
      <c r="K43" s="118">
        <f>VLOOKUP($H43,$B$53:$F$56,4,FALSE)</f>
        <v>17.7</v>
      </c>
      <c r="L43" s="118">
        <f>VLOOKUP($H43,$B$53:$F$56,5,FALSE)</f>
        <v>0.1</v>
      </c>
      <c r="M43" s="117" t="s">
        <v>86</v>
      </c>
      <c r="N43" s="118">
        <f>VLOOKUP($M43,$B$53:$F$56,2,FALSE)</f>
        <v>76</v>
      </c>
      <c r="O43" s="118">
        <f>VLOOKUP($M43,$B$53:$F$56,3,FALSE)</f>
        <v>1.4</v>
      </c>
      <c r="P43" s="118">
        <f>VLOOKUP($M43,$B$53:$F$56,4,FALSE)</f>
        <v>17.7</v>
      </c>
      <c r="Q43" s="118">
        <f>VLOOKUP($M43,$B$53:$F$56,5,FALSE)</f>
        <v>0.1</v>
      </c>
      <c r="R43" s="117" t="s">
        <v>85</v>
      </c>
      <c r="S43" s="118">
        <f>VLOOKUP($R43,$B$53:$F$56,2,FALSE)</f>
        <v>77</v>
      </c>
      <c r="T43" s="118">
        <f>VLOOKUP($R43,$B$53:$F$56,3,FALSE)</f>
        <v>2</v>
      </c>
      <c r="U43" s="118">
        <f>VLOOKUP($R43,$B$53:$F$56,4,FALSE)</f>
        <v>17</v>
      </c>
      <c r="V43" s="118">
        <f>VLOOKUP($R43,$B$53:$F$56,5,FALSE)</f>
        <v>0.1</v>
      </c>
      <c r="W43" s="117" t="s">
        <v>85</v>
      </c>
      <c r="X43" s="118">
        <f>VLOOKUP($W43,$B$53:$F$56,2,FALSE)</f>
        <v>77</v>
      </c>
      <c r="Y43" s="118">
        <f>VLOOKUP($W43,$B$53:$F$56,3,FALSE)</f>
        <v>2</v>
      </c>
      <c r="Z43" s="118">
        <f>VLOOKUP($W43,$B$53:$F$56,4,FALSE)</f>
        <v>17</v>
      </c>
      <c r="AA43" s="118">
        <f>VLOOKUP($W43,$B$53:$F$56,5,FALSE)</f>
        <v>0.1</v>
      </c>
      <c r="AB43" s="117" t="s">
        <v>87</v>
      </c>
      <c r="AC43" s="118">
        <f>VLOOKUP($AB43,$B$53:$F$56,2,FALSE)</f>
        <v>90</v>
      </c>
      <c r="AD43" s="118">
        <f>VLOOKUP($AB43,$B$53:$F$56,3,FALSE)</f>
        <v>2</v>
      </c>
      <c r="AE43" s="118">
        <f>VLOOKUP($AB43,$B$53:$F$56,4,FALSE)</f>
        <v>20.7</v>
      </c>
      <c r="AF43" s="118">
        <f>VLOOKUP($AB43,$B$53:$F$56,5,FALSE)</f>
        <v>0.2</v>
      </c>
      <c r="AG43" s="117" t="s">
        <v>88</v>
      </c>
      <c r="AH43" s="118">
        <f>VLOOKUP($AG43,$B$53:$F$56,2,FALSE)</f>
        <v>77</v>
      </c>
      <c r="AI43" s="118">
        <f>VLOOKUP($AG43,$B$53:$F$56,3,FALSE)</f>
        <v>2</v>
      </c>
      <c r="AJ43" s="118">
        <f>VLOOKUP($AG43,$B$53:$F$56,4,FALSE)</f>
        <v>17</v>
      </c>
      <c r="AK43" s="118">
        <f>VLOOKUP($AG43,$B$53:$F$56,5,FALSE)</f>
        <v>0.1</v>
      </c>
    </row>
    <row r="44" spans="2:37" ht="57.6" x14ac:dyDescent="0.3">
      <c r="B44" s="116" t="s">
        <v>89</v>
      </c>
      <c r="C44" s="119" t="s">
        <v>90</v>
      </c>
      <c r="D44" s="118"/>
      <c r="E44" s="118"/>
      <c r="F44" s="118"/>
      <c r="G44" s="118"/>
      <c r="H44" s="119" t="s">
        <v>91</v>
      </c>
      <c r="I44" s="118"/>
      <c r="J44" s="118"/>
      <c r="K44" s="118"/>
      <c r="L44" s="118"/>
      <c r="M44" s="119" t="s">
        <v>92</v>
      </c>
      <c r="N44" s="118"/>
      <c r="O44" s="118"/>
      <c r="P44" s="118"/>
      <c r="Q44" s="118"/>
      <c r="R44" s="119" t="s">
        <v>93</v>
      </c>
      <c r="S44" s="118"/>
      <c r="T44" s="118"/>
      <c r="U44" s="118"/>
      <c r="V44" s="118"/>
      <c r="W44" s="119" t="s">
        <v>94</v>
      </c>
      <c r="X44" s="118"/>
      <c r="Y44" s="118"/>
      <c r="Z44" s="118"/>
      <c r="AA44" s="118"/>
      <c r="AB44" s="119" t="s">
        <v>95</v>
      </c>
      <c r="AC44" s="118"/>
      <c r="AD44" s="118"/>
      <c r="AE44" s="118"/>
      <c r="AF44" s="118"/>
      <c r="AG44" s="119" t="s">
        <v>96</v>
      </c>
      <c r="AH44" s="118"/>
      <c r="AI44" s="118"/>
      <c r="AJ44" s="118"/>
      <c r="AK44" s="118"/>
    </row>
    <row r="45" spans="2:37" ht="28.8" x14ac:dyDescent="0.3">
      <c r="B45" s="116" t="s">
        <v>97</v>
      </c>
      <c r="C45" s="119" t="s">
        <v>98</v>
      </c>
      <c r="D45" s="117">
        <v>409</v>
      </c>
      <c r="E45" s="117">
        <v>48.1</v>
      </c>
      <c r="F45" s="117">
        <v>17.5</v>
      </c>
      <c r="G45" s="117">
        <v>15.1</v>
      </c>
      <c r="H45" s="119" t="s">
        <v>99</v>
      </c>
      <c r="I45" s="117">
        <v>436.6</v>
      </c>
      <c r="J45" s="117">
        <v>55.9</v>
      </c>
      <c r="K45" s="117">
        <v>15.9</v>
      </c>
      <c r="L45" s="117">
        <v>16.899999999999999</v>
      </c>
      <c r="M45" s="119" t="s">
        <v>98</v>
      </c>
      <c r="N45" s="117">
        <v>428.4</v>
      </c>
      <c r="O45" s="117">
        <v>52.7</v>
      </c>
      <c r="P45" s="117">
        <v>18.100000000000001</v>
      </c>
      <c r="Q45" s="117">
        <v>15.1</v>
      </c>
      <c r="R45" s="119" t="s">
        <v>100</v>
      </c>
      <c r="S45" s="117">
        <v>445.6</v>
      </c>
      <c r="T45" s="117">
        <v>50.9</v>
      </c>
      <c r="U45" s="117">
        <v>15</v>
      </c>
      <c r="V45" s="117">
        <v>19.100000000000001</v>
      </c>
      <c r="W45" s="119" t="s">
        <v>98</v>
      </c>
      <c r="X45" s="117">
        <v>349.8</v>
      </c>
      <c r="Y45" s="117">
        <v>39.9</v>
      </c>
      <c r="Z45" s="117">
        <v>14.3</v>
      </c>
      <c r="AA45" s="117">
        <v>14.4</v>
      </c>
      <c r="AB45" s="119" t="s">
        <v>101</v>
      </c>
      <c r="AC45" s="117">
        <v>278</v>
      </c>
      <c r="AD45" s="117">
        <v>32.9</v>
      </c>
      <c r="AE45" s="117">
        <v>0.7</v>
      </c>
      <c r="AF45" s="117">
        <v>17.8</v>
      </c>
      <c r="AG45" s="119" t="s">
        <v>101</v>
      </c>
      <c r="AH45" s="117">
        <v>317.2</v>
      </c>
      <c r="AI45" s="117">
        <v>41.6</v>
      </c>
      <c r="AJ45" s="117">
        <v>6.7</v>
      </c>
      <c r="AK45" s="117">
        <v>14.1</v>
      </c>
    </row>
    <row r="46" spans="2:37" x14ac:dyDescent="0.3">
      <c r="B46" s="116" t="s">
        <v>102</v>
      </c>
      <c r="C46" s="118"/>
      <c r="D46" s="118"/>
      <c r="E46" s="118"/>
      <c r="F46" s="118">
        <f>VLOOKUP(C$15,$B$8:$J$11,6,FALSE)</f>
        <v>330</v>
      </c>
      <c r="G46" s="118"/>
      <c r="H46" s="118"/>
      <c r="I46" s="118"/>
      <c r="J46" s="118"/>
      <c r="K46" s="118">
        <f>VLOOKUP(H$15,$B$8:$J$11,6,FALSE)</f>
        <v>280</v>
      </c>
      <c r="L46" s="118"/>
      <c r="M46" s="118"/>
      <c r="N46" s="118"/>
      <c r="O46" s="118"/>
      <c r="P46" s="118">
        <f>VLOOKUP(M$15,$B$8:$J$11,6,FALSE)</f>
        <v>280</v>
      </c>
      <c r="Q46" s="118"/>
      <c r="R46" s="118"/>
      <c r="S46" s="118"/>
      <c r="T46" s="118"/>
      <c r="U46" s="118">
        <f>VLOOKUP(R$15,$B$8:$J$11,6,FALSE)</f>
        <v>280</v>
      </c>
      <c r="V46" s="118"/>
      <c r="W46" s="118"/>
      <c r="X46" s="118"/>
      <c r="Y46" s="118"/>
      <c r="Z46" s="118">
        <f>VLOOKUP(W$15,$B$8:$J$11,6,FALSE)</f>
        <v>220</v>
      </c>
      <c r="AA46" s="118"/>
      <c r="AB46" s="118"/>
      <c r="AC46" s="118"/>
      <c r="AD46" s="118"/>
      <c r="AE46" s="118">
        <f>VLOOKUP(AB$15,$B$8:$J$11,6,FALSE)</f>
        <v>280</v>
      </c>
      <c r="AF46" s="118"/>
      <c r="AG46" s="118"/>
      <c r="AH46" s="118"/>
      <c r="AI46" s="118"/>
      <c r="AJ46" s="118">
        <f>VLOOKUP(AG$15,$B$8:$J$11,6,FALSE)</f>
        <v>220</v>
      </c>
      <c r="AK46" s="118"/>
    </row>
    <row r="47" spans="2:37" x14ac:dyDescent="0.3">
      <c r="B47" s="116" t="s">
        <v>103</v>
      </c>
      <c r="C47" s="118"/>
      <c r="D47" s="118"/>
      <c r="E47" s="118"/>
      <c r="F47" s="118">
        <f>SUM(F17:F20)</f>
        <v>210</v>
      </c>
      <c r="G47" s="118"/>
      <c r="H47" s="118"/>
      <c r="I47" s="118"/>
      <c r="J47" s="118"/>
      <c r="K47" s="118">
        <f>SUM(K17:K20)</f>
        <v>190</v>
      </c>
      <c r="L47" s="118"/>
      <c r="M47" s="118"/>
      <c r="N47" s="118"/>
      <c r="O47" s="118"/>
      <c r="P47" s="118">
        <f>SUM(P17:P20)</f>
        <v>210</v>
      </c>
      <c r="Q47" s="118"/>
      <c r="R47" s="118"/>
      <c r="S47" s="118"/>
      <c r="T47" s="118"/>
      <c r="U47" s="118">
        <f>SUM(U17:U20)</f>
        <v>190</v>
      </c>
      <c r="V47" s="118"/>
      <c r="W47" s="118"/>
      <c r="X47" s="118"/>
      <c r="Y47" s="118"/>
      <c r="Z47" s="118">
        <f>SUM(Z17:Z20)</f>
        <v>181</v>
      </c>
      <c r="AA47" s="118"/>
      <c r="AB47" s="118"/>
      <c r="AC47" s="118"/>
      <c r="AD47" s="118"/>
      <c r="AE47" s="118">
        <f>SUM(AE17:AE20)</f>
        <v>203</v>
      </c>
      <c r="AF47" s="118"/>
      <c r="AG47" s="118"/>
      <c r="AH47" s="118"/>
      <c r="AI47" s="118"/>
      <c r="AJ47" s="118">
        <f>SUM(AJ17:AJ20)</f>
        <v>188</v>
      </c>
      <c r="AK47" s="118"/>
    </row>
    <row r="48" spans="2:37" x14ac:dyDescent="0.3">
      <c r="B48" s="116" t="s">
        <v>104</v>
      </c>
      <c r="C48" s="118"/>
      <c r="D48" s="118"/>
      <c r="E48" s="118"/>
      <c r="F48" s="118">
        <f>MAX(0,F46-F47)</f>
        <v>120</v>
      </c>
      <c r="G48" s="118"/>
      <c r="H48" s="118"/>
      <c r="I48" s="118"/>
      <c r="J48" s="118"/>
      <c r="K48" s="118">
        <f>MAX(0,K46-K47)</f>
        <v>90</v>
      </c>
      <c r="L48" s="118"/>
      <c r="M48" s="118"/>
      <c r="N48" s="118"/>
      <c r="O48" s="118"/>
      <c r="P48" s="118">
        <f>MAX(0,P46-P47)</f>
        <v>70</v>
      </c>
      <c r="Q48" s="118"/>
      <c r="R48" s="118"/>
      <c r="S48" s="118"/>
      <c r="T48" s="118"/>
      <c r="U48" s="118">
        <f>MAX(0,U46-U47)</f>
        <v>90</v>
      </c>
      <c r="V48" s="118"/>
      <c r="W48" s="118"/>
      <c r="X48" s="118"/>
      <c r="Y48" s="118"/>
      <c r="Z48" s="118">
        <f>MAX(0,Z46-Z47)</f>
        <v>39</v>
      </c>
      <c r="AA48" s="118"/>
      <c r="AB48" s="118"/>
      <c r="AC48" s="118"/>
      <c r="AD48" s="118"/>
      <c r="AE48" s="118">
        <f>MAX(0,AE46-AE47)</f>
        <v>77</v>
      </c>
      <c r="AF48" s="118"/>
      <c r="AG48" s="118"/>
      <c r="AH48" s="118"/>
      <c r="AI48" s="118"/>
      <c r="AJ48" s="118">
        <f>MAX(0,AJ46-AJ47)</f>
        <v>32</v>
      </c>
      <c r="AK48" s="118"/>
    </row>
    <row r="49" spans="2:37" x14ac:dyDescent="0.3">
      <c r="B49" s="120" t="s">
        <v>105</v>
      </c>
      <c r="C49" s="121"/>
      <c r="D49" s="121"/>
      <c r="E49" s="121"/>
      <c r="F49" s="122">
        <f>MAX(0,ROUND((F48-F45)/F43*100/5,0)*5)</f>
        <v>605</v>
      </c>
      <c r="G49" s="121"/>
      <c r="H49" s="121"/>
      <c r="I49" s="121"/>
      <c r="J49" s="121"/>
      <c r="K49" s="122">
        <f>MAX(0,ROUND((K48-K45)/K43*100/5,0)*5)</f>
        <v>420</v>
      </c>
      <c r="L49" s="121"/>
      <c r="M49" s="121"/>
      <c r="N49" s="121"/>
      <c r="O49" s="121"/>
      <c r="P49" s="122">
        <f>MAX(0,ROUND((P48-P45)/P43*100/5,0)*5)</f>
        <v>295</v>
      </c>
      <c r="Q49" s="121"/>
      <c r="R49" s="121"/>
      <c r="S49" s="121"/>
      <c r="T49" s="121"/>
      <c r="U49" s="122">
        <f>MAX(0,ROUND((U48-U45)/U43*100/5,0)*5)</f>
        <v>440</v>
      </c>
      <c r="V49" s="121"/>
      <c r="W49" s="121"/>
      <c r="X49" s="121"/>
      <c r="Y49" s="121"/>
      <c r="Z49" s="122">
        <f>MAX(0,ROUND((Z48-Z45)/Z43*100/5,0)*5)</f>
        <v>145</v>
      </c>
      <c r="AA49" s="121"/>
      <c r="AB49" s="121"/>
      <c r="AC49" s="121"/>
      <c r="AD49" s="121"/>
      <c r="AE49" s="122">
        <f>MAX(0,ROUND((AE48-AE45)/AE43*100/5,0)*5)</f>
        <v>370</v>
      </c>
      <c r="AF49" s="121"/>
      <c r="AG49" s="121"/>
      <c r="AH49" s="121"/>
      <c r="AI49" s="121"/>
      <c r="AJ49" s="122">
        <f>MAX(0,ROUND((AJ48-AJ45)/AJ43*100/5,0)*5)</f>
        <v>150</v>
      </c>
      <c r="AK49" s="121"/>
    </row>
    <row r="52" spans="2:37" x14ac:dyDescent="0.3">
      <c r="B52" s="123" t="s">
        <v>106</v>
      </c>
      <c r="C52" s="123" t="s">
        <v>37</v>
      </c>
      <c r="D52" s="123" t="s">
        <v>38</v>
      </c>
      <c r="E52" s="123" t="s">
        <v>39</v>
      </c>
      <c r="F52" s="123" t="s">
        <v>40</v>
      </c>
    </row>
    <row r="53" spans="2:37" x14ac:dyDescent="0.3">
      <c r="B53" t="s">
        <v>85</v>
      </c>
      <c r="C53" s="124">
        <v>77</v>
      </c>
      <c r="D53" s="124">
        <v>2</v>
      </c>
      <c r="E53" s="124">
        <v>17</v>
      </c>
      <c r="F53" s="124">
        <v>0.1</v>
      </c>
    </row>
    <row r="54" spans="2:37" x14ac:dyDescent="0.3">
      <c r="B54" t="s">
        <v>86</v>
      </c>
      <c r="C54" s="124">
        <v>76</v>
      </c>
      <c r="D54" s="124">
        <v>1.4</v>
      </c>
      <c r="E54" s="124">
        <v>17.7</v>
      </c>
      <c r="F54" s="124">
        <v>0.1</v>
      </c>
    </row>
    <row r="55" spans="2:37" x14ac:dyDescent="0.3">
      <c r="B55" t="s">
        <v>87</v>
      </c>
      <c r="C55" s="124">
        <v>90</v>
      </c>
      <c r="D55" s="124">
        <v>2</v>
      </c>
      <c r="E55" s="124">
        <v>20.7</v>
      </c>
      <c r="F55" s="124">
        <v>0.2</v>
      </c>
    </row>
    <row r="56" spans="2:37" x14ac:dyDescent="0.3">
      <c r="B56" t="s">
        <v>88</v>
      </c>
      <c r="C56" s="124">
        <v>77</v>
      </c>
      <c r="D56" s="124">
        <v>2</v>
      </c>
      <c r="E56" s="124">
        <v>17</v>
      </c>
      <c r="F56" s="124">
        <v>0.1</v>
      </c>
    </row>
    <row r="58" spans="2:37" x14ac:dyDescent="0.3">
      <c r="B58" t="s">
        <v>107</v>
      </c>
      <c r="C58" s="124">
        <v>42</v>
      </c>
      <c r="D58" s="124">
        <v>11</v>
      </c>
      <c r="E58" s="124">
        <v>0.3</v>
      </c>
      <c r="F58" s="124">
        <v>0.2</v>
      </c>
    </row>
    <row r="59" spans="2:37" x14ac:dyDescent="0.3">
      <c r="B59" t="s">
        <v>108</v>
      </c>
      <c r="C59" s="124">
        <v>199</v>
      </c>
      <c r="D59" s="124">
        <v>38</v>
      </c>
      <c r="E59" s="124">
        <v>0.5</v>
      </c>
      <c r="F59" s="124">
        <v>5</v>
      </c>
    </row>
    <row r="60" spans="2:37" x14ac:dyDescent="0.3">
      <c r="B60" t="s">
        <v>109</v>
      </c>
      <c r="C60" s="124">
        <v>345</v>
      </c>
      <c r="D60" s="124">
        <v>13.5</v>
      </c>
      <c r="E60" s="124">
        <v>62</v>
      </c>
      <c r="F60" s="124">
        <v>2.4</v>
      </c>
    </row>
    <row r="61" spans="2:37" x14ac:dyDescent="0.3">
      <c r="B61" t="s">
        <v>110</v>
      </c>
      <c r="C61" s="124">
        <v>344</v>
      </c>
      <c r="D61" s="124">
        <v>8.1999999999999993</v>
      </c>
      <c r="E61" s="124">
        <v>75</v>
      </c>
      <c r="F61" s="124">
        <v>1</v>
      </c>
    </row>
    <row r="62" spans="2:37" x14ac:dyDescent="0.3">
      <c r="B62" t="s">
        <v>111</v>
      </c>
      <c r="C62" s="124">
        <v>126</v>
      </c>
      <c r="D62" s="124">
        <v>2.7</v>
      </c>
      <c r="E62" s="124">
        <v>28</v>
      </c>
      <c r="F62" s="124">
        <v>0.3</v>
      </c>
    </row>
    <row r="63" spans="2:37" x14ac:dyDescent="0.3">
      <c r="B63" t="s">
        <v>112</v>
      </c>
      <c r="C63" s="124">
        <v>23</v>
      </c>
      <c r="D63" s="124">
        <v>1.1000000000000001</v>
      </c>
      <c r="E63" s="124">
        <v>3.8</v>
      </c>
      <c r="F63" s="124">
        <v>0</v>
      </c>
    </row>
    <row r="64" spans="2:37" x14ac:dyDescent="0.3">
      <c r="B64" t="s">
        <v>113</v>
      </c>
      <c r="C64" s="124">
        <v>100</v>
      </c>
      <c r="D64" s="124">
        <v>23</v>
      </c>
      <c r="E64" s="124">
        <v>0.7</v>
      </c>
      <c r="F64" s="124">
        <v>0.6</v>
      </c>
    </row>
    <row r="65" spans="2:6" x14ac:dyDescent="0.3">
      <c r="B65" t="s">
        <v>114</v>
      </c>
      <c r="C65" s="124">
        <v>110</v>
      </c>
      <c r="D65" s="124">
        <v>23</v>
      </c>
      <c r="E65" s="124">
        <v>0</v>
      </c>
      <c r="F65" s="124">
        <v>1.5</v>
      </c>
    </row>
    <row r="66" spans="2:6" x14ac:dyDescent="0.3">
      <c r="B66" t="s">
        <v>115</v>
      </c>
      <c r="C66" s="124">
        <v>899</v>
      </c>
      <c r="D66" s="124">
        <v>0</v>
      </c>
      <c r="E66" s="124">
        <v>0</v>
      </c>
      <c r="F66" s="124">
        <v>100</v>
      </c>
    </row>
    <row r="67" spans="2:6" x14ac:dyDescent="0.3">
      <c r="B67" t="s">
        <v>116</v>
      </c>
      <c r="C67" s="124">
        <v>105</v>
      </c>
      <c r="D67" s="124">
        <v>24</v>
      </c>
      <c r="E67" s="124">
        <v>0</v>
      </c>
      <c r="F67" s="124">
        <v>1</v>
      </c>
    </row>
    <row r="68" spans="2:6" x14ac:dyDescent="0.3">
      <c r="B68" t="s">
        <v>117</v>
      </c>
      <c r="C68" s="124">
        <v>257</v>
      </c>
      <c r="D68" s="124">
        <v>11</v>
      </c>
      <c r="E68" s="124">
        <v>46</v>
      </c>
      <c r="F68" s="124">
        <v>1.5</v>
      </c>
    </row>
    <row r="69" spans="2:6" x14ac:dyDescent="0.3">
      <c r="B69" t="s">
        <v>118</v>
      </c>
      <c r="C69" s="124">
        <v>411</v>
      </c>
      <c r="D69" s="124">
        <v>24</v>
      </c>
      <c r="E69" s="124">
        <v>0.5</v>
      </c>
      <c r="F69" s="124">
        <v>35</v>
      </c>
    </row>
    <row r="70" spans="2:6" x14ac:dyDescent="0.3">
      <c r="B70" t="s">
        <v>119</v>
      </c>
      <c r="C70" s="124">
        <v>46</v>
      </c>
      <c r="D70" s="124">
        <v>3.2</v>
      </c>
      <c r="E70" s="124">
        <v>4.7</v>
      </c>
      <c r="F70" s="124">
        <v>1.6</v>
      </c>
    </row>
    <row r="71" spans="2:6" x14ac:dyDescent="0.3">
      <c r="B71" t="s">
        <v>120</v>
      </c>
      <c r="C71" s="124">
        <v>89</v>
      </c>
      <c r="D71" s="124">
        <v>18.5</v>
      </c>
      <c r="E71" s="124">
        <v>1</v>
      </c>
      <c r="F71" s="124">
        <v>1.5</v>
      </c>
    </row>
    <row r="72" spans="2:6" x14ac:dyDescent="0.3">
      <c r="B72" t="s">
        <v>121</v>
      </c>
      <c r="C72" s="124">
        <v>89</v>
      </c>
      <c r="D72" s="124">
        <v>1.1000000000000001</v>
      </c>
      <c r="E72" s="124">
        <v>20</v>
      </c>
      <c r="F72" s="124">
        <v>0.3</v>
      </c>
    </row>
    <row r="73" spans="2:6" x14ac:dyDescent="0.3">
      <c r="B73" t="s">
        <v>122</v>
      </c>
      <c r="C73" s="124">
        <v>654</v>
      </c>
      <c r="D73" s="124">
        <v>15</v>
      </c>
      <c r="E73" s="124">
        <v>7</v>
      </c>
      <c r="F73" s="124">
        <v>65</v>
      </c>
    </row>
    <row r="74" spans="2:6" x14ac:dyDescent="0.3">
      <c r="B74" t="s">
        <v>123</v>
      </c>
      <c r="C74" s="124">
        <v>304</v>
      </c>
      <c r="D74" s="124">
        <v>0.3</v>
      </c>
      <c r="E74" s="124">
        <v>82</v>
      </c>
      <c r="F74" s="124">
        <v>0</v>
      </c>
    </row>
    <row r="75" spans="2:6" x14ac:dyDescent="0.3">
      <c r="B75" t="s">
        <v>124</v>
      </c>
      <c r="C75" s="124">
        <v>372</v>
      </c>
      <c r="D75" s="124">
        <v>13.5</v>
      </c>
      <c r="E75" s="124">
        <v>58.7</v>
      </c>
      <c r="F75" s="124">
        <v>7</v>
      </c>
    </row>
    <row r="76" spans="2:6" x14ac:dyDescent="0.3">
      <c r="B76" t="s">
        <v>125</v>
      </c>
      <c r="C76" s="124">
        <v>47</v>
      </c>
      <c r="D76" s="124">
        <v>0.9</v>
      </c>
      <c r="E76" s="124">
        <v>11.8</v>
      </c>
      <c r="F76" s="124">
        <v>0.1</v>
      </c>
    </row>
    <row r="77" spans="2:6" x14ac:dyDescent="0.3">
      <c r="B77" t="s">
        <v>126</v>
      </c>
      <c r="C77" s="124">
        <v>18</v>
      </c>
      <c r="D77" s="124">
        <v>0.9</v>
      </c>
      <c r="E77" s="124">
        <v>3.9</v>
      </c>
      <c r="F77" s="124">
        <v>0.2</v>
      </c>
    </row>
    <row r="78" spans="2:6" x14ac:dyDescent="0.3">
      <c r="C78" s="124"/>
      <c r="D78" s="124"/>
      <c r="E78" s="124"/>
      <c r="F78" s="124"/>
    </row>
    <row r="79" spans="2:6" x14ac:dyDescent="0.3">
      <c r="C79" s="124"/>
      <c r="D79" s="124"/>
      <c r="E79" s="124"/>
      <c r="F79" s="124"/>
    </row>
  </sheetData>
  <mergeCells count="43">
    <mergeCell ref="C33:H33"/>
    <mergeCell ref="AG29:AK29"/>
    <mergeCell ref="C30:G30"/>
    <mergeCell ref="H30:L30"/>
    <mergeCell ref="M30:Q30"/>
    <mergeCell ref="R30:V30"/>
    <mergeCell ref="W30:AA30"/>
    <mergeCell ref="AB30:AF30"/>
    <mergeCell ref="AG30:AK30"/>
    <mergeCell ref="C29:G29"/>
    <mergeCell ref="H29:L29"/>
    <mergeCell ref="M29:Q29"/>
    <mergeCell ref="R29:V29"/>
    <mergeCell ref="W29:AA29"/>
    <mergeCell ref="AB29:AF29"/>
    <mergeCell ref="AG27:AK27"/>
    <mergeCell ref="C28:G28"/>
    <mergeCell ref="H28:L28"/>
    <mergeCell ref="M28:Q28"/>
    <mergeCell ref="R28:V28"/>
    <mergeCell ref="W28:AA28"/>
    <mergeCell ref="AB28:AF28"/>
    <mergeCell ref="AG28:AK28"/>
    <mergeCell ref="C27:G27"/>
    <mergeCell ref="H27:L27"/>
    <mergeCell ref="M27:Q27"/>
    <mergeCell ref="R27:V27"/>
    <mergeCell ref="W27:AA27"/>
    <mergeCell ref="AB27:AF27"/>
    <mergeCell ref="AG14:AK14"/>
    <mergeCell ref="C15:G15"/>
    <mergeCell ref="H15:L15"/>
    <mergeCell ref="M15:Q15"/>
    <mergeCell ref="R15:V15"/>
    <mergeCell ref="W15:AA15"/>
    <mergeCell ref="AB15:AF15"/>
    <mergeCell ref="AG15:AK15"/>
    <mergeCell ref="C14:G14"/>
    <mergeCell ref="H14:L14"/>
    <mergeCell ref="M14:Q14"/>
    <mergeCell ref="R14:V14"/>
    <mergeCell ref="W14:AA14"/>
    <mergeCell ref="AB14:AF14"/>
  </mergeCells>
  <conditionalFormatting sqref="D22">
    <cfRule type="expression" dxfId="104" priority="4">
      <formula>$D$25="OK"</formula>
    </cfRule>
    <cfRule type="expression" dxfId="103" priority="5">
      <formula>$D$25="LEVE"</formula>
    </cfRule>
    <cfRule type="expression" dxfId="102" priority="6">
      <formula>$D$25="ALTA"</formula>
    </cfRule>
  </conditionalFormatting>
  <conditionalFormatting sqref="D25:G25">
    <cfRule type="containsText" dxfId="101" priority="1" operator="containsText" text="OK">
      <formula>NOT(ISERROR(SEARCH("OK",D25)))</formula>
    </cfRule>
    <cfRule type="containsText" dxfId="100" priority="2" operator="containsText" text="LEVE">
      <formula>NOT(ISERROR(SEARCH("LEVE",D25)))</formula>
    </cfRule>
    <cfRule type="containsText" dxfId="99" priority="3" operator="containsText" text="ALTA">
      <formula>NOT(ISERROR(SEARCH("ALTA",D25)))</formula>
    </cfRule>
  </conditionalFormatting>
  <conditionalFormatting sqref="E22">
    <cfRule type="expression" dxfId="98" priority="7">
      <formula>$E$25="OK"</formula>
    </cfRule>
    <cfRule type="expression" dxfId="97" priority="8">
      <formula>$E$25="LEVE"</formula>
    </cfRule>
    <cfRule type="expression" dxfId="96" priority="9">
      <formula>$E$25="ALTA"</formula>
    </cfRule>
  </conditionalFormatting>
  <conditionalFormatting sqref="F22">
    <cfRule type="expression" dxfId="95" priority="10">
      <formula>$F$25="OK"</formula>
    </cfRule>
    <cfRule type="expression" dxfId="94" priority="11">
      <formula>$F$25="LEVE"</formula>
    </cfRule>
    <cfRule type="expression" dxfId="93" priority="12">
      <formula>$F$25="ALTA"</formula>
    </cfRule>
  </conditionalFormatting>
  <conditionalFormatting sqref="G22">
    <cfRule type="expression" dxfId="92" priority="13">
      <formula>$G$25="OK"</formula>
    </cfRule>
    <cfRule type="expression" dxfId="91" priority="14">
      <formula>$G$25="LEVE"</formula>
    </cfRule>
    <cfRule type="expression" dxfId="90" priority="15">
      <formula>$G$25="ALTA"</formula>
    </cfRule>
  </conditionalFormatting>
  <conditionalFormatting sqref="I22">
    <cfRule type="expression" dxfId="89" priority="19">
      <formula>$I$25="OK"</formula>
    </cfRule>
    <cfRule type="expression" dxfId="88" priority="20">
      <formula>$I$25="LEVE"</formula>
    </cfRule>
    <cfRule type="expression" dxfId="87" priority="21">
      <formula>$I$25="ALTA"</formula>
    </cfRule>
  </conditionalFormatting>
  <conditionalFormatting sqref="I25:L25">
    <cfRule type="containsText" dxfId="86" priority="16" operator="containsText" text="OK">
      <formula>NOT(ISERROR(SEARCH("OK",I25)))</formula>
    </cfRule>
    <cfRule type="containsText" dxfId="85" priority="17" operator="containsText" text="LEVE">
      <formula>NOT(ISERROR(SEARCH("LEVE",I25)))</formula>
    </cfRule>
    <cfRule type="containsText" dxfId="84" priority="18" operator="containsText" text="ALTA">
      <formula>NOT(ISERROR(SEARCH("ALTA",I25)))</formula>
    </cfRule>
  </conditionalFormatting>
  <conditionalFormatting sqref="J22">
    <cfRule type="expression" dxfId="83" priority="22">
      <formula>$J$25="OK"</formula>
    </cfRule>
    <cfRule type="expression" dxfId="82" priority="23">
      <formula>$J$25="LEVE"</formula>
    </cfRule>
    <cfRule type="expression" dxfId="81" priority="24">
      <formula>$J$25="ALTA"</formula>
    </cfRule>
  </conditionalFormatting>
  <conditionalFormatting sqref="K22">
    <cfRule type="expression" dxfId="80" priority="25">
      <formula>$K$25="OK"</formula>
    </cfRule>
    <cfRule type="expression" dxfId="79" priority="26">
      <formula>$K$25="LEVE"</formula>
    </cfRule>
    <cfRule type="expression" dxfId="78" priority="27">
      <formula>$K$25="ALTA"</formula>
    </cfRule>
  </conditionalFormatting>
  <conditionalFormatting sqref="L22">
    <cfRule type="expression" dxfId="77" priority="28">
      <formula>$L$25="OK"</formula>
    </cfRule>
    <cfRule type="expression" dxfId="76" priority="29">
      <formula>$L$25="LEVE"</formula>
    </cfRule>
    <cfRule type="expression" dxfId="75" priority="30">
      <formula>$L$25="ALTA"</formula>
    </cfRule>
  </conditionalFormatting>
  <conditionalFormatting sqref="N22">
    <cfRule type="expression" dxfId="74" priority="34">
      <formula>$N$25="OK"</formula>
    </cfRule>
    <cfRule type="expression" dxfId="73" priority="35">
      <formula>$N$25="LEVE"</formula>
    </cfRule>
    <cfRule type="expression" dxfId="72" priority="36">
      <formula>$N$25="ALTA"</formula>
    </cfRule>
  </conditionalFormatting>
  <conditionalFormatting sqref="N25:Q25">
    <cfRule type="containsText" dxfId="71" priority="31" operator="containsText" text="OK">
      <formula>NOT(ISERROR(SEARCH("OK",N25)))</formula>
    </cfRule>
    <cfRule type="containsText" dxfId="70" priority="32" operator="containsText" text="LEVE">
      <formula>NOT(ISERROR(SEARCH("LEVE",N25)))</formula>
    </cfRule>
    <cfRule type="containsText" dxfId="69" priority="33" operator="containsText" text="ALTA">
      <formula>NOT(ISERROR(SEARCH("ALTA",N25)))</formula>
    </cfRule>
  </conditionalFormatting>
  <conditionalFormatting sqref="O22">
    <cfRule type="expression" dxfId="68" priority="37">
      <formula>$O$25="OK"</formula>
    </cfRule>
    <cfRule type="expression" dxfId="67" priority="38">
      <formula>$O$25="LEVE"</formula>
    </cfRule>
    <cfRule type="expression" dxfId="66" priority="39">
      <formula>$O$25="ALTA"</formula>
    </cfRule>
  </conditionalFormatting>
  <conditionalFormatting sqref="P22">
    <cfRule type="expression" dxfId="65" priority="40">
      <formula>$P$25="OK"</formula>
    </cfRule>
    <cfRule type="expression" dxfId="64" priority="41">
      <formula>$P$25="LEVE"</formula>
    </cfRule>
    <cfRule type="expression" dxfId="63" priority="42">
      <formula>$P$25="ALTA"</formula>
    </cfRule>
  </conditionalFormatting>
  <conditionalFormatting sqref="Q22">
    <cfRule type="expression" dxfId="62" priority="43">
      <formula>$Q$25="OK"</formula>
    </cfRule>
    <cfRule type="expression" dxfId="61" priority="44">
      <formula>$Q$25="LEVE"</formula>
    </cfRule>
    <cfRule type="expression" dxfId="60" priority="45">
      <formula>$Q$25="ALTA"</formula>
    </cfRule>
  </conditionalFormatting>
  <conditionalFormatting sqref="S22">
    <cfRule type="expression" dxfId="59" priority="49">
      <formula>$S$25="OK"</formula>
    </cfRule>
    <cfRule type="expression" dxfId="58" priority="50">
      <formula>$S$25="LEVE"</formula>
    </cfRule>
    <cfRule type="expression" dxfId="57" priority="51">
      <formula>$S$25="ALTA"</formula>
    </cfRule>
  </conditionalFormatting>
  <conditionalFormatting sqref="S25:V25">
    <cfRule type="containsText" dxfId="56" priority="46" operator="containsText" text="OK">
      <formula>NOT(ISERROR(SEARCH("OK",S25)))</formula>
    </cfRule>
    <cfRule type="containsText" dxfId="55" priority="47" operator="containsText" text="LEVE">
      <formula>NOT(ISERROR(SEARCH("LEVE",S25)))</formula>
    </cfRule>
    <cfRule type="containsText" dxfId="54" priority="48" operator="containsText" text="ALTA">
      <formula>NOT(ISERROR(SEARCH("ALTA",S25)))</formula>
    </cfRule>
  </conditionalFormatting>
  <conditionalFormatting sqref="T22">
    <cfRule type="expression" dxfId="53" priority="52">
      <formula>$T$25="OK"</formula>
    </cfRule>
    <cfRule type="expression" dxfId="52" priority="53">
      <formula>$T$25="LEVE"</formula>
    </cfRule>
    <cfRule type="expression" dxfId="51" priority="54">
      <formula>$T$25="ALTA"</formula>
    </cfRule>
  </conditionalFormatting>
  <conditionalFormatting sqref="U22">
    <cfRule type="expression" dxfId="50" priority="55">
      <formula>$U$25="OK"</formula>
    </cfRule>
    <cfRule type="expression" dxfId="49" priority="56">
      <formula>$U$25="LEVE"</formula>
    </cfRule>
    <cfRule type="expression" dxfId="48" priority="57">
      <formula>$U$25="ALTA"</formula>
    </cfRule>
  </conditionalFormatting>
  <conditionalFormatting sqref="V22">
    <cfRule type="expression" dxfId="47" priority="58">
      <formula>$V$25="OK"</formula>
    </cfRule>
    <cfRule type="expression" dxfId="46" priority="59">
      <formula>$V$25="LEVE"</formula>
    </cfRule>
    <cfRule type="expression" dxfId="45" priority="60">
      <formula>$V$25="ALTA"</formula>
    </cfRule>
  </conditionalFormatting>
  <conditionalFormatting sqref="X22">
    <cfRule type="expression" dxfId="44" priority="64">
      <formula>$X$25="OK"</formula>
    </cfRule>
    <cfRule type="expression" dxfId="43" priority="65">
      <formula>$X$25="LEVE"</formula>
    </cfRule>
    <cfRule type="expression" dxfId="42" priority="66">
      <formula>$X$25="ALTA"</formula>
    </cfRule>
  </conditionalFormatting>
  <conditionalFormatting sqref="X25:AA25">
    <cfRule type="containsText" dxfId="41" priority="61" operator="containsText" text="OK">
      <formula>NOT(ISERROR(SEARCH("OK",X25)))</formula>
    </cfRule>
    <cfRule type="containsText" dxfId="40" priority="62" operator="containsText" text="LEVE">
      <formula>NOT(ISERROR(SEARCH("LEVE",X25)))</formula>
    </cfRule>
    <cfRule type="containsText" dxfId="39" priority="63" operator="containsText" text="ALTA">
      <formula>NOT(ISERROR(SEARCH("ALTA",X25)))</formula>
    </cfRule>
  </conditionalFormatting>
  <conditionalFormatting sqref="Y22">
    <cfRule type="expression" dxfId="38" priority="67">
      <formula>$Y$25="OK"</formula>
    </cfRule>
    <cfRule type="expression" dxfId="37" priority="68">
      <formula>$Y$25="LEVE"</formula>
    </cfRule>
    <cfRule type="expression" dxfId="36" priority="69">
      <formula>$Y$25="ALTA"</formula>
    </cfRule>
  </conditionalFormatting>
  <conditionalFormatting sqref="Z22">
    <cfRule type="expression" dxfId="35" priority="70">
      <formula>$Z$25="OK"</formula>
    </cfRule>
    <cfRule type="expression" dxfId="34" priority="71">
      <formula>$Z$25="LEVE"</formula>
    </cfRule>
    <cfRule type="expression" dxfId="33" priority="72">
      <formula>$Z$25="ALTA"</formula>
    </cfRule>
  </conditionalFormatting>
  <conditionalFormatting sqref="AA22">
    <cfRule type="expression" dxfId="32" priority="73">
      <formula>$AA$25="OK"</formula>
    </cfRule>
    <cfRule type="expression" dxfId="31" priority="74">
      <formula>$AA$25="LEVE"</formula>
    </cfRule>
    <cfRule type="expression" dxfId="30" priority="75">
      <formula>$AA$25="ALTA"</formula>
    </cfRule>
  </conditionalFormatting>
  <conditionalFormatting sqref="AC22">
    <cfRule type="expression" dxfId="29" priority="79">
      <formula>$AC$25="OK"</formula>
    </cfRule>
    <cfRule type="expression" dxfId="28" priority="80">
      <formula>$AC$25="LEVE"</formula>
    </cfRule>
    <cfRule type="expression" dxfId="27" priority="81">
      <formula>$AC$25="ALTA"</formula>
    </cfRule>
  </conditionalFormatting>
  <conditionalFormatting sqref="AC25:AF25">
    <cfRule type="containsText" dxfId="26" priority="76" operator="containsText" text="OK">
      <formula>NOT(ISERROR(SEARCH("OK",AC25)))</formula>
    </cfRule>
    <cfRule type="containsText" dxfId="25" priority="77" operator="containsText" text="LEVE">
      <formula>NOT(ISERROR(SEARCH("LEVE",AC25)))</formula>
    </cfRule>
    <cfRule type="containsText" dxfId="24" priority="78" operator="containsText" text="ALTA">
      <formula>NOT(ISERROR(SEARCH("ALTA",AC25)))</formula>
    </cfRule>
  </conditionalFormatting>
  <conditionalFormatting sqref="AD22">
    <cfRule type="expression" dxfId="23" priority="82">
      <formula>$AD$25="OK"</formula>
    </cfRule>
    <cfRule type="expression" dxfId="22" priority="83">
      <formula>$AD$25="LEVE"</formula>
    </cfRule>
    <cfRule type="expression" dxfId="21" priority="84">
      <formula>$AD$25="ALTA"</formula>
    </cfRule>
  </conditionalFormatting>
  <conditionalFormatting sqref="AE22">
    <cfRule type="expression" dxfId="20" priority="85">
      <formula>$AE$25="OK"</formula>
    </cfRule>
    <cfRule type="expression" dxfId="19" priority="86">
      <formula>$AE$25="LEVE"</formula>
    </cfRule>
    <cfRule type="expression" dxfId="18" priority="87">
      <formula>$AE$25="ALTA"</formula>
    </cfRule>
  </conditionalFormatting>
  <conditionalFormatting sqref="AF22">
    <cfRule type="expression" dxfId="17" priority="88">
      <formula>$AF$25="OK"</formula>
    </cfRule>
    <cfRule type="expression" dxfId="16" priority="89">
      <formula>$AF$25="LEVE"</formula>
    </cfRule>
    <cfRule type="expression" dxfId="15" priority="90">
      <formula>$AF$25="ALTA"</formula>
    </cfRule>
  </conditionalFormatting>
  <conditionalFormatting sqref="AH22">
    <cfRule type="expression" dxfId="14" priority="94">
      <formula>$AH$25="OK"</formula>
    </cfRule>
    <cfRule type="expression" dxfId="13" priority="95">
      <formula>$AH$25="LEVE"</formula>
    </cfRule>
    <cfRule type="expression" dxfId="12" priority="96">
      <formula>$AH$25="ALTA"</formula>
    </cfRule>
  </conditionalFormatting>
  <conditionalFormatting sqref="AH25:AK25">
    <cfRule type="containsText" dxfId="11" priority="91" operator="containsText" text="OK">
      <formula>NOT(ISERROR(SEARCH("OK",AH25)))</formula>
    </cfRule>
    <cfRule type="containsText" dxfId="10" priority="92" operator="containsText" text="LEVE">
      <formula>NOT(ISERROR(SEARCH("LEVE",AH25)))</formula>
    </cfRule>
    <cfRule type="containsText" dxfId="9" priority="93" operator="containsText" text="ALTA">
      <formula>NOT(ISERROR(SEARCH("ALTA",AH25)))</formula>
    </cfRule>
  </conditionalFormatting>
  <conditionalFormatting sqref="AI22">
    <cfRule type="expression" dxfId="8" priority="97">
      <formula>$AI$25="OK"</formula>
    </cfRule>
    <cfRule type="expression" dxfId="7" priority="98">
      <formula>$AI$25="LEVE"</formula>
    </cfRule>
    <cfRule type="expression" dxfId="6" priority="99">
      <formula>$AI$25="ALTA"</formula>
    </cfRule>
  </conditionalFormatting>
  <conditionalFormatting sqref="AJ22">
    <cfRule type="expression" dxfId="5" priority="100">
      <formula>$AJ$25="OK"</formula>
    </cfRule>
    <cfRule type="expression" dxfId="4" priority="101">
      <formula>$AJ$25="LEVE"</formula>
    </cfRule>
    <cfRule type="expression" dxfId="3" priority="102">
      <formula>$AJ$25="ALTA"</formula>
    </cfRule>
  </conditionalFormatting>
  <conditionalFormatting sqref="AK22">
    <cfRule type="expression" dxfId="2" priority="103">
      <formula>$AK$25="OK"</formula>
    </cfRule>
    <cfRule type="expression" dxfId="1" priority="104">
      <formula>$AK$25="LEVE"</formula>
    </cfRule>
    <cfRule type="expression" dxfId="0" priority="105">
      <formula>$AK$25="ALTA"</formula>
    </cfRule>
  </conditionalFormatting>
  <dataValidations count="2">
    <dataValidation type="list" allowBlank="1" showInputMessage="1" showErrorMessage="1" sqref="C43 AG43 AB43 W43 R43 M43 H43" xr:uid="{83EA2A79-38A6-4255-A55F-AFB3463FDAB6}">
      <formula1>$B$53:$B$56</formula1>
    </dataValidation>
    <dataValidation type="list" allowBlank="1" showInputMessage="1" showErrorMessage="1" sqref="C15 AG15 AB15 W15 R15 M15 H15" xr:uid="{CA7547E6-59A5-4672-8C12-EB1EF86B508F}">
      <formula1>$B$8:$B$11</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Simón - Bocubi</dc:creator>
  <cp:lastModifiedBy>Simón - Bocubi</cp:lastModifiedBy>
  <dcterms:created xsi:type="dcterms:W3CDTF">2026-09-24T08:17:16Z</dcterms:created>
  <dcterms:modified xsi:type="dcterms:W3CDTF">2026-09-24T08:17:39Z</dcterms:modified>
</cp:coreProperties>
</file>